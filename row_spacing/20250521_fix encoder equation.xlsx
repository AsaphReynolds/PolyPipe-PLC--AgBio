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tate-my.sharepoint.com/personal/mjf305_msstate_edu/Documents/Documents/PolyPipe/Polypipe_program/row_spacing/"/>
    </mc:Choice>
  </mc:AlternateContent>
  <xr:revisionPtr revIDLastSave="39" documentId="8_{2EF5D9DA-8CDB-4705-B0B2-4BF43B65B786}" xr6:coauthVersionLast="36" xr6:coauthVersionMax="36" xr10:uidLastSave="{EF8D9D7F-7315-4C9D-8120-B1E9F7E2B630}"/>
  <bookViews>
    <workbookView xWindow="0" yWindow="0" windowWidth="23040" windowHeight="8778" xr2:uid="{C8727C95-0519-4618-9E07-4F4C147EE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M10" i="1"/>
  <c r="M9" i="1"/>
  <c r="K105" i="1" l="1"/>
  <c r="L105" i="1"/>
  <c r="K120" i="1"/>
  <c r="C120" i="1"/>
  <c r="D120" i="1" s="1"/>
  <c r="G119" i="1" s="1"/>
  <c r="C119" i="1"/>
  <c r="D119" i="1" s="1"/>
  <c r="C118" i="1"/>
  <c r="D118" i="1" s="1"/>
  <c r="C117" i="1"/>
  <c r="D117" i="1" s="1"/>
  <c r="A117" i="1"/>
  <c r="A118" i="1" s="1"/>
  <c r="A119" i="1" s="1"/>
  <c r="A120" i="1" s="1"/>
  <c r="C116" i="1"/>
  <c r="D116" i="1" s="1"/>
  <c r="J22" i="1"/>
  <c r="J25" i="1"/>
  <c r="J93" i="1"/>
  <c r="L93" i="1" s="1"/>
  <c r="K93" i="1"/>
  <c r="K97" i="1"/>
  <c r="A108" i="1"/>
  <c r="C108" i="1"/>
  <c r="D108" i="1" s="1"/>
  <c r="A109" i="1"/>
  <c r="C109" i="1"/>
  <c r="D109" i="1" s="1"/>
  <c r="A96" i="1"/>
  <c r="C96" i="1"/>
  <c r="D96" i="1"/>
  <c r="A97" i="1"/>
  <c r="C97" i="1"/>
  <c r="D97" i="1" s="1"/>
  <c r="K109" i="1"/>
  <c r="C107" i="1"/>
  <c r="D107" i="1" s="1"/>
  <c r="C106" i="1"/>
  <c r="D106" i="1" s="1"/>
  <c r="A106" i="1"/>
  <c r="A107" i="1" s="1"/>
  <c r="C105" i="1"/>
  <c r="D105" i="1" s="1"/>
  <c r="C95" i="1"/>
  <c r="D95" i="1" s="1"/>
  <c r="C94" i="1"/>
  <c r="D94" i="1" s="1"/>
  <c r="A94" i="1"/>
  <c r="A95" i="1" s="1"/>
  <c r="C93" i="1"/>
  <c r="D93" i="1" s="1"/>
  <c r="K86" i="1"/>
  <c r="J86" i="1"/>
  <c r="L86" i="1" s="1"/>
  <c r="N86" i="1" s="1"/>
  <c r="K77" i="1"/>
  <c r="N77" i="1" s="1"/>
  <c r="J77" i="1"/>
  <c r="L77" i="1" s="1"/>
  <c r="C82" i="1"/>
  <c r="D82" i="1" s="1"/>
  <c r="A83" i="1"/>
  <c r="C83" i="1"/>
  <c r="D83" i="1" s="1"/>
  <c r="G82" i="1" s="1"/>
  <c r="A84" i="1"/>
  <c r="C84" i="1"/>
  <c r="D84" i="1" s="1"/>
  <c r="G83" i="1" s="1"/>
  <c r="A85" i="1"/>
  <c r="C85" i="1"/>
  <c r="D85" i="1" s="1"/>
  <c r="G84" i="1" s="1"/>
  <c r="I18" i="1"/>
  <c r="K18" i="1" s="1"/>
  <c r="I12" i="1"/>
  <c r="K12" i="1" s="1"/>
  <c r="A75" i="1"/>
  <c r="A76" i="1" s="1"/>
  <c r="A64" i="1"/>
  <c r="A65" i="1" s="1"/>
  <c r="A66" i="1" s="1"/>
  <c r="A67" i="1" s="1"/>
  <c r="A68" i="1" s="1"/>
  <c r="A54" i="1"/>
  <c r="A55" i="1" s="1"/>
  <c r="A56" i="1" s="1"/>
  <c r="A57" i="1" s="1"/>
  <c r="A44" i="1"/>
  <c r="A45" i="1"/>
  <c r="A46" i="1"/>
  <c r="A47" i="1" s="1"/>
  <c r="A74" i="1"/>
  <c r="A63" i="1"/>
  <c r="A53" i="1"/>
  <c r="A43" i="1"/>
  <c r="C43" i="1"/>
  <c r="C44" i="1"/>
  <c r="C45" i="1"/>
  <c r="C46" i="1"/>
  <c r="C47" i="1"/>
  <c r="C53" i="1"/>
  <c r="D53" i="1" s="1"/>
  <c r="C54" i="1"/>
  <c r="D54" i="1" s="1"/>
  <c r="G53" i="1" s="1"/>
  <c r="C55" i="1"/>
  <c r="D55" i="1" s="1"/>
  <c r="C56" i="1"/>
  <c r="C57" i="1"/>
  <c r="C63" i="1"/>
  <c r="D63" i="1" s="1"/>
  <c r="C64" i="1"/>
  <c r="D64" i="1" s="1"/>
  <c r="G63" i="1" s="1"/>
  <c r="C65" i="1"/>
  <c r="D65" i="1" s="1"/>
  <c r="G64" i="1" s="1"/>
  <c r="C66" i="1"/>
  <c r="D66" i="1" s="1"/>
  <c r="G65" i="1" s="1"/>
  <c r="C67" i="1"/>
  <c r="D67" i="1" s="1"/>
  <c r="C68" i="1"/>
  <c r="D68" i="1" s="1"/>
  <c r="C74" i="1"/>
  <c r="C75" i="1"/>
  <c r="C76" i="1"/>
  <c r="C73" i="1"/>
  <c r="D73" i="1" s="1"/>
  <c r="C62" i="1"/>
  <c r="C52" i="1"/>
  <c r="D52" i="1" s="1"/>
  <c r="C42" i="1"/>
  <c r="D42" i="1" s="1"/>
  <c r="G42" i="1" s="1"/>
  <c r="D74" i="1"/>
  <c r="D75" i="1"/>
  <c r="G74" i="1" s="1"/>
  <c r="D76" i="1"/>
  <c r="D62" i="1"/>
  <c r="D56" i="1"/>
  <c r="D57" i="1"/>
  <c r="G56" i="1"/>
  <c r="G43" i="1"/>
  <c r="D43" i="1"/>
  <c r="D44" i="1"/>
  <c r="D45" i="1"/>
  <c r="G44" i="1" s="1"/>
  <c r="D46" i="1"/>
  <c r="G45" i="1" s="1"/>
  <c r="D47" i="1"/>
  <c r="G46" i="1" s="1"/>
  <c r="K66" i="1"/>
  <c r="K56" i="1"/>
  <c r="K46" i="1"/>
  <c r="G117" i="1" l="1"/>
  <c r="G116" i="1"/>
  <c r="G118" i="1"/>
  <c r="G108" i="1"/>
  <c r="G96" i="1"/>
  <c r="G95" i="1"/>
  <c r="G93" i="1"/>
  <c r="G94" i="1"/>
  <c r="G107" i="1"/>
  <c r="G106" i="1"/>
  <c r="G105" i="1"/>
  <c r="J82" i="1"/>
  <c r="L82" i="1" s="1"/>
  <c r="K82" i="1"/>
  <c r="J46" i="1"/>
  <c r="L46" i="1" s="1"/>
  <c r="N46" i="1" s="1"/>
  <c r="G55" i="1"/>
  <c r="G54" i="1"/>
  <c r="G52" i="1"/>
  <c r="G66" i="1"/>
  <c r="G62" i="1"/>
  <c r="J62" i="1" s="1"/>
  <c r="L62" i="1" s="1"/>
  <c r="G67" i="1"/>
  <c r="G75" i="1"/>
  <c r="G73" i="1"/>
  <c r="J73" i="1"/>
  <c r="L73" i="1" s="1"/>
  <c r="J56" i="1"/>
  <c r="L56" i="1" s="1"/>
  <c r="N56" i="1" s="1"/>
  <c r="K73" i="1"/>
  <c r="J52" i="1"/>
  <c r="L52" i="1" s="1"/>
  <c r="K52" i="1"/>
  <c r="K42" i="1"/>
  <c r="J42" i="1"/>
  <c r="L42" i="1" s="1"/>
  <c r="J8" i="1"/>
  <c r="K116" i="1" l="1"/>
  <c r="J120" i="1"/>
  <c r="L120" i="1" s="1"/>
  <c r="N120" i="1" s="1"/>
  <c r="J116" i="1"/>
  <c r="L116" i="1" s="1"/>
  <c r="J97" i="1"/>
  <c r="L97" i="1" s="1"/>
  <c r="N97" i="1" s="1"/>
  <c r="J105" i="1"/>
  <c r="J109" i="1"/>
  <c r="L109" i="1" s="1"/>
  <c r="N109" i="1" s="1"/>
  <c r="N82" i="1"/>
  <c r="K62" i="1"/>
  <c r="N62" i="1" s="1"/>
  <c r="J66" i="1"/>
  <c r="L66" i="1" s="1"/>
  <c r="N66" i="1" s="1"/>
  <c r="N73" i="1"/>
  <c r="N52" i="1"/>
  <c r="N42" i="1"/>
  <c r="I3" i="1"/>
  <c r="J3" i="1" s="1"/>
  <c r="I4" i="1"/>
  <c r="J4" i="1" s="1"/>
  <c r="I5" i="1"/>
  <c r="J5" i="1" s="1"/>
  <c r="I2" i="1"/>
  <c r="J2" i="1" s="1"/>
  <c r="G34" i="1"/>
  <c r="G25" i="1"/>
  <c r="G26" i="1"/>
  <c r="G27" i="1"/>
  <c r="G28" i="1"/>
  <c r="G24" i="1"/>
  <c r="A38" i="1"/>
  <c r="C38" i="1"/>
  <c r="D38" i="1" s="1"/>
  <c r="A29" i="1"/>
  <c r="C29" i="1"/>
  <c r="D29" i="1" s="1"/>
  <c r="C20" i="1"/>
  <c r="D20" i="1" s="1"/>
  <c r="G19" i="1"/>
  <c r="C37" i="1"/>
  <c r="D37" i="1" s="1"/>
  <c r="G37" i="1" s="1"/>
  <c r="C36" i="1"/>
  <c r="D36" i="1" s="1"/>
  <c r="C35" i="1"/>
  <c r="D35" i="1" s="1"/>
  <c r="C34" i="1"/>
  <c r="D34" i="1" s="1"/>
  <c r="A34" i="1"/>
  <c r="A35" i="1" s="1"/>
  <c r="A36" i="1" s="1"/>
  <c r="A37" i="1" s="1"/>
  <c r="C33" i="1"/>
  <c r="D33" i="1" s="1"/>
  <c r="G33" i="1" s="1"/>
  <c r="C28" i="1"/>
  <c r="D28" i="1" s="1"/>
  <c r="C27" i="1"/>
  <c r="D27" i="1" s="1"/>
  <c r="C26" i="1"/>
  <c r="D26" i="1" s="1"/>
  <c r="C25" i="1"/>
  <c r="D25" i="1" s="1"/>
  <c r="A25" i="1"/>
  <c r="A26" i="1" s="1"/>
  <c r="A27" i="1" s="1"/>
  <c r="A28" i="1" s="1"/>
  <c r="C24" i="1"/>
  <c r="D24" i="1" s="1"/>
  <c r="C19" i="1"/>
  <c r="D19" i="1" s="1"/>
  <c r="C18" i="1"/>
  <c r="D18" i="1" s="1"/>
  <c r="C17" i="1"/>
  <c r="D17" i="1" s="1"/>
  <c r="C16" i="1"/>
  <c r="D16" i="1" s="1"/>
  <c r="A16" i="1"/>
  <c r="A17" i="1" s="1"/>
  <c r="A18" i="1" s="1"/>
  <c r="A19" i="1" s="1"/>
  <c r="A20" i="1" s="1"/>
  <c r="C15" i="1"/>
  <c r="D15" i="1" s="1"/>
  <c r="C11" i="1"/>
  <c r="D11" i="1" s="1"/>
  <c r="C10" i="1"/>
  <c r="D10" i="1" s="1"/>
  <c r="C9" i="1"/>
  <c r="D9" i="1" s="1"/>
  <c r="C8" i="1"/>
  <c r="D8" i="1" s="1"/>
  <c r="A8" i="1"/>
  <c r="A9" i="1" s="1"/>
  <c r="A10" i="1" s="1"/>
  <c r="A11" i="1" s="1"/>
  <c r="C7" i="1"/>
  <c r="D7" i="1" s="1"/>
  <c r="N116" i="1" l="1"/>
  <c r="N93" i="1"/>
  <c r="N105" i="1"/>
  <c r="G36" i="1"/>
  <c r="G35" i="1"/>
  <c r="G15" i="1"/>
  <c r="G17" i="1"/>
  <c r="G16" i="1"/>
  <c r="G18" i="1"/>
  <c r="G10" i="1"/>
  <c r="G9" i="1"/>
  <c r="G8" i="1"/>
  <c r="G7" i="1"/>
  <c r="A2" i="1" l="1"/>
  <c r="B2" i="1" s="1"/>
</calcChain>
</file>

<file path=xl/sharedStrings.xml><?xml version="1.0" encoding="utf-8"?>
<sst xmlns="http://schemas.openxmlformats.org/spreadsheetml/2006/main" count="242" uniqueCount="46">
  <si>
    <t>Circumference (in)</t>
  </si>
  <si>
    <t>Degrees per Inch (360°/Circumference)</t>
  </si>
  <si>
    <t>radius</t>
  </si>
  <si>
    <t>For radius 1.8</t>
  </si>
  <si>
    <t>row</t>
  </si>
  <si>
    <t>value</t>
  </si>
  <si>
    <t>hole_d</t>
  </si>
  <si>
    <t>hole_r</t>
  </si>
  <si>
    <t>s_v_in</t>
  </si>
  <si>
    <t>s_v_sub_in</t>
  </si>
  <si>
    <t>spacing</t>
  </si>
  <si>
    <t>For radius 2.2</t>
  </si>
  <si>
    <t>For radius 1.9</t>
  </si>
  <si>
    <t>For radius 2.0</t>
  </si>
  <si>
    <t>Desired Degrees</t>
  </si>
  <si>
    <t>linear equation</t>
  </si>
  <si>
    <t>For radius 1.956</t>
  </si>
  <si>
    <t>25 in center</t>
  </si>
  <si>
    <t>initial</t>
  </si>
  <si>
    <t>average</t>
  </si>
  <si>
    <t>desired final</t>
  </si>
  <si>
    <t>actual final</t>
  </si>
  <si>
    <t>Error</t>
  </si>
  <si>
    <t>Extrapolation</t>
  </si>
  <si>
    <t>number rows</t>
  </si>
  <si>
    <t>avg. value</t>
  </si>
  <si>
    <t>desired final (in)</t>
  </si>
  <si>
    <t>actual final (in)</t>
  </si>
  <si>
    <t>row spacing</t>
  </si>
  <si>
    <t>40 in center</t>
  </si>
  <si>
    <t>For radius 1.962</t>
  </si>
  <si>
    <t>80 in center</t>
  </si>
  <si>
    <t>.</t>
  </si>
  <si>
    <t>40 Inch Center</t>
  </si>
  <si>
    <t>cir</t>
  </si>
  <si>
    <t>deg</t>
  </si>
  <si>
    <t>80 Inch Center</t>
  </si>
  <si>
    <t>For radius 1.973</t>
  </si>
  <si>
    <t>7 mm</t>
  </si>
  <si>
    <t>10 mm</t>
  </si>
  <si>
    <t>For radius 1.9746</t>
  </si>
  <si>
    <t>For radius 1.9615</t>
  </si>
  <si>
    <t xml:space="preserve"> CRN: 30258</t>
  </si>
  <si>
    <t>Course Number</t>
  </si>
  <si>
    <t>CRN: 30222</t>
  </si>
  <si>
    <t>Animal Science &amp; Dairy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</si>
</sst>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16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23C9-32C8-4BFA-8A4B-2314F37BAC5C}">
  <dimension ref="A1:N127"/>
  <sheetViews>
    <sheetView tabSelected="1" topLeftCell="A118" workbookViewId="0">
      <selection activeCell="D138" sqref="D138"/>
    </sheetView>
  </sheetViews>
  <sheetFormatPr defaultRowHeight="14.4" x14ac:dyDescent="0.55000000000000004"/>
  <cols>
    <col min="1" max="1" width="16" customWidth="1"/>
    <col min="2" max="2" width="16.7890625" customWidth="1"/>
    <col min="3" max="3" width="14.7890625" customWidth="1"/>
    <col min="4" max="4" width="17.26171875" customWidth="1"/>
    <col min="5" max="5" width="15.9453125" customWidth="1"/>
    <col min="6" max="6" width="10.62890625" bestFit="1" customWidth="1"/>
    <col min="9" max="9" width="16.62890625" customWidth="1"/>
    <col min="10" max="10" width="22.20703125" customWidth="1"/>
    <col min="11" max="11" width="12.5234375" customWidth="1"/>
  </cols>
  <sheetData>
    <row r="1" spans="1:13" s="2" customFormat="1" ht="43.2" x14ac:dyDescent="0.55000000000000004">
      <c r="A1" s="2" t="s">
        <v>0</v>
      </c>
      <c r="B1" s="2" t="s">
        <v>1</v>
      </c>
      <c r="C1" s="2" t="s">
        <v>2</v>
      </c>
      <c r="I1" s="2" t="s">
        <v>0</v>
      </c>
      <c r="J1" s="2" t="s">
        <v>1</v>
      </c>
      <c r="K1" s="2" t="s">
        <v>2</v>
      </c>
    </row>
    <row r="2" spans="1:13" x14ac:dyDescent="0.55000000000000004">
      <c r="A2" s="2">
        <f>2*PI()*C2</f>
        <v>11.938052083641214</v>
      </c>
      <c r="B2" s="3">
        <f>360/A2</f>
        <v>30.155673427938066</v>
      </c>
      <c r="C2">
        <v>1.9</v>
      </c>
      <c r="I2" s="2">
        <f>2*PI()*K2</f>
        <v>11.309733552923255</v>
      </c>
      <c r="J2" s="3">
        <f>360/I2</f>
        <v>31.830988618379067</v>
      </c>
      <c r="K2">
        <v>1.8</v>
      </c>
    </row>
    <row r="3" spans="1:13" x14ac:dyDescent="0.55000000000000004">
      <c r="I3" s="2">
        <f t="shared" ref="I3:I5" si="0">2*PI()*K3</f>
        <v>11.938052083641214</v>
      </c>
      <c r="J3" s="3">
        <f t="shared" ref="J3:J5" si="1">360/I3</f>
        <v>30.155673427938066</v>
      </c>
      <c r="K3">
        <v>1.9</v>
      </c>
    </row>
    <row r="4" spans="1:13" x14ac:dyDescent="0.55000000000000004">
      <c r="I4" s="2">
        <f t="shared" si="0"/>
        <v>12.566370614359172</v>
      </c>
      <c r="J4" s="3">
        <f t="shared" si="1"/>
        <v>28.647889756541161</v>
      </c>
      <c r="K4">
        <v>2</v>
      </c>
    </row>
    <row r="5" spans="1:13" s="4" customFormat="1" x14ac:dyDescent="0.55000000000000004">
      <c r="A5" s="4" t="s">
        <v>3</v>
      </c>
      <c r="B5" s="4" t="s">
        <v>17</v>
      </c>
      <c r="C5" s="4" t="s">
        <v>38</v>
      </c>
      <c r="I5" s="2">
        <f t="shared" si="0"/>
        <v>13.823007675795091</v>
      </c>
      <c r="J5" s="3">
        <f t="shared" si="1"/>
        <v>26.043536142310142</v>
      </c>
      <c r="K5">
        <v>2.2000000000000002</v>
      </c>
    </row>
    <row r="6" spans="1:13" x14ac:dyDescent="0.55000000000000004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13" x14ac:dyDescent="0.55000000000000004">
      <c r="A7">
        <v>1</v>
      </c>
      <c r="B7">
        <v>35</v>
      </c>
      <c r="C7">
        <f t="shared" ref="C7:C11" si="2">B7/64</f>
        <v>0.546875</v>
      </c>
      <c r="D7">
        <f t="shared" ref="D7:D11" si="3">C7/2</f>
        <v>0.2734375</v>
      </c>
      <c r="E7">
        <v>27</v>
      </c>
      <c r="F7">
        <v>5</v>
      </c>
      <c r="G7">
        <f>E7+(F7/32)-D7+D8</f>
        <v>27.3203125</v>
      </c>
      <c r="I7" t="s">
        <v>14</v>
      </c>
      <c r="J7" s="5" t="s">
        <v>15</v>
      </c>
    </row>
    <row r="8" spans="1:13" x14ac:dyDescent="0.55000000000000004">
      <c r="A8">
        <f>1+A7</f>
        <v>2</v>
      </c>
      <c r="B8">
        <v>56</v>
      </c>
      <c r="C8">
        <f t="shared" si="2"/>
        <v>0.875</v>
      </c>
      <c r="D8">
        <f t="shared" si="3"/>
        <v>0.4375</v>
      </c>
      <c r="E8">
        <v>27</v>
      </c>
      <c r="F8">
        <v>2</v>
      </c>
      <c r="G8">
        <f>E8+(F8/32)-D8+D9</f>
        <v>27.0546875</v>
      </c>
      <c r="H8" s="1"/>
      <c r="I8">
        <v>25</v>
      </c>
      <c r="J8" s="6">
        <f xml:space="preserve"> 1.0694*I8 + 2.5594</f>
        <v>29.2944</v>
      </c>
      <c r="K8" s="1"/>
    </row>
    <row r="9" spans="1:13" x14ac:dyDescent="0.55000000000000004">
      <c r="A9">
        <f t="shared" ref="A9:A20" si="4">1+A8</f>
        <v>3</v>
      </c>
      <c r="B9">
        <v>55</v>
      </c>
      <c r="C9">
        <f t="shared" si="2"/>
        <v>0.859375</v>
      </c>
      <c r="D9">
        <f t="shared" si="3"/>
        <v>0.4296875</v>
      </c>
      <c r="E9">
        <v>27</v>
      </c>
      <c r="F9">
        <v>24</v>
      </c>
      <c r="G9">
        <f t="shared" ref="G9:G10" si="5">E9+(F9/32)-D9+D10</f>
        <v>27.7578125</v>
      </c>
      <c r="H9" s="2"/>
      <c r="I9" s="2"/>
      <c r="J9" s="2"/>
      <c r="K9" s="2"/>
      <c r="M9">
        <f>360/29</f>
        <v>12.413793103448276</v>
      </c>
    </row>
    <row r="10" spans="1:13" x14ac:dyDescent="0.55000000000000004">
      <c r="A10">
        <f t="shared" si="4"/>
        <v>4</v>
      </c>
      <c r="B10">
        <v>56</v>
      </c>
      <c r="C10">
        <f t="shared" si="2"/>
        <v>0.875</v>
      </c>
      <c r="D10">
        <f t="shared" si="3"/>
        <v>0.4375</v>
      </c>
      <c r="E10">
        <v>27</v>
      </c>
      <c r="F10">
        <v>15</v>
      </c>
      <c r="G10">
        <f t="shared" si="5"/>
        <v>27.46875</v>
      </c>
      <c r="H10" s="2"/>
      <c r="I10" t="s">
        <v>33</v>
      </c>
      <c r="M10">
        <f>2*PI()*2</f>
        <v>12.566370614359172</v>
      </c>
    </row>
    <row r="11" spans="1:13" x14ac:dyDescent="0.55000000000000004">
      <c r="A11">
        <f t="shared" si="4"/>
        <v>5</v>
      </c>
      <c r="B11">
        <v>56</v>
      </c>
      <c r="C11">
        <f t="shared" si="2"/>
        <v>0.875</v>
      </c>
      <c r="D11">
        <f t="shared" si="3"/>
        <v>0.4375</v>
      </c>
      <c r="I11" t="s">
        <v>34</v>
      </c>
      <c r="J11" t="s">
        <v>35</v>
      </c>
      <c r="K11" t="s">
        <v>2</v>
      </c>
      <c r="M11">
        <f>360/M10</f>
        <v>28.647889756541161</v>
      </c>
    </row>
    <row r="12" spans="1:13" x14ac:dyDescent="0.55000000000000004">
      <c r="I12">
        <f>360/J12</f>
        <v>12.327441416728192</v>
      </c>
      <c r="J12">
        <v>29.2031402</v>
      </c>
      <c r="K12">
        <f>I12/(2*PI())</f>
        <v>1.9619732371480492</v>
      </c>
    </row>
    <row r="13" spans="1:13" x14ac:dyDescent="0.55000000000000004">
      <c r="A13" s="4" t="s">
        <v>12</v>
      </c>
      <c r="B13" s="4" t="s">
        <v>17</v>
      </c>
      <c r="C13" s="4" t="s">
        <v>38</v>
      </c>
      <c r="D13" s="4"/>
      <c r="E13" s="4"/>
      <c r="F13" s="4"/>
      <c r="G13" s="4"/>
      <c r="J13">
        <v>29.2031402</v>
      </c>
    </row>
    <row r="14" spans="1:13" x14ac:dyDescent="0.55000000000000004">
      <c r="A14" t="s">
        <v>4</v>
      </c>
      <c r="B14" t="s">
        <v>5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  <c r="K14">
        <v>1.9615</v>
      </c>
    </row>
    <row r="15" spans="1:13" x14ac:dyDescent="0.55000000000000004">
      <c r="A15">
        <v>1</v>
      </c>
      <c r="B15">
        <v>27</v>
      </c>
      <c r="C15">
        <f t="shared" ref="C15:C19" si="6">B15/64</f>
        <v>0.421875</v>
      </c>
      <c r="D15">
        <f t="shared" ref="D15:D19" si="7">C15/2</f>
        <v>0.2109375</v>
      </c>
      <c r="E15">
        <v>25</v>
      </c>
      <c r="F15">
        <v>28</v>
      </c>
      <c r="G15">
        <f>E15+(F15/32)-D16+D15</f>
        <v>25.6484375</v>
      </c>
    </row>
    <row r="16" spans="1:13" x14ac:dyDescent="0.55000000000000004">
      <c r="A16">
        <f>1+A15</f>
        <v>2</v>
      </c>
      <c r="B16">
        <v>56</v>
      </c>
      <c r="C16">
        <f t="shared" si="6"/>
        <v>0.875</v>
      </c>
      <c r="D16">
        <f t="shared" si="7"/>
        <v>0.4375</v>
      </c>
      <c r="E16">
        <v>25</v>
      </c>
      <c r="F16">
        <v>24</v>
      </c>
      <c r="G16">
        <f>E16+(F16/32)-D17+D16</f>
        <v>25.75</v>
      </c>
      <c r="I16" t="s">
        <v>36</v>
      </c>
    </row>
    <row r="17" spans="1:11" x14ac:dyDescent="0.55000000000000004">
      <c r="A17">
        <f t="shared" si="4"/>
        <v>3</v>
      </c>
      <c r="B17">
        <v>56</v>
      </c>
      <c r="C17">
        <f t="shared" si="6"/>
        <v>0.875</v>
      </c>
      <c r="D17">
        <f t="shared" si="7"/>
        <v>0.4375</v>
      </c>
      <c r="E17">
        <v>25</v>
      </c>
      <c r="F17">
        <v>23</v>
      </c>
      <c r="G17">
        <f t="shared" ref="G17:G18" si="8">E17+(F17/32)-D18+D17</f>
        <v>25.71875</v>
      </c>
      <c r="I17" t="s">
        <v>34</v>
      </c>
      <c r="J17" t="s">
        <v>35</v>
      </c>
      <c r="K17" t="s">
        <v>2</v>
      </c>
    </row>
    <row r="18" spans="1:11" x14ac:dyDescent="0.55000000000000004">
      <c r="A18">
        <f t="shared" si="4"/>
        <v>4</v>
      </c>
      <c r="B18">
        <v>56</v>
      </c>
      <c r="C18">
        <f t="shared" si="6"/>
        <v>0.875</v>
      </c>
      <c r="D18">
        <f t="shared" si="7"/>
        <v>0.4375</v>
      </c>
      <c r="E18">
        <v>25</v>
      </c>
      <c r="F18">
        <v>23</v>
      </c>
      <c r="G18">
        <f t="shared" si="8"/>
        <v>25.71875</v>
      </c>
      <c r="I18">
        <f>360/J18</f>
        <v>12.407033409383853</v>
      </c>
      <c r="J18">
        <v>29.015799999999999</v>
      </c>
      <c r="K18">
        <f>I18/(2*PI())</f>
        <v>1.9746406962097314</v>
      </c>
    </row>
    <row r="19" spans="1:11" x14ac:dyDescent="0.55000000000000004">
      <c r="A19">
        <f t="shared" si="4"/>
        <v>5</v>
      </c>
      <c r="B19">
        <v>56</v>
      </c>
      <c r="C19">
        <f t="shared" si="6"/>
        <v>0.875</v>
      </c>
      <c r="D19">
        <f t="shared" si="7"/>
        <v>0.4375</v>
      </c>
      <c r="E19">
        <v>25</v>
      </c>
      <c r="F19">
        <v>23</v>
      </c>
      <c r="G19">
        <f>E19+(F19/32)-D21+D19</f>
        <v>26.15625</v>
      </c>
    </row>
    <row r="20" spans="1:11" x14ac:dyDescent="0.55000000000000004">
      <c r="A20">
        <f t="shared" si="4"/>
        <v>6</v>
      </c>
      <c r="B20">
        <v>56</v>
      </c>
      <c r="C20">
        <f t="shared" ref="C20" si="9">B20/64</f>
        <v>0.875</v>
      </c>
      <c r="D20">
        <f t="shared" ref="D20" si="10">C20/2</f>
        <v>0.4375</v>
      </c>
    </row>
    <row r="21" spans="1:11" x14ac:dyDescent="0.55000000000000004">
      <c r="I21" t="s">
        <v>14</v>
      </c>
      <c r="J21" s="5" t="s">
        <v>15</v>
      </c>
    </row>
    <row r="22" spans="1:11" x14ac:dyDescent="0.55000000000000004">
      <c r="A22" s="4" t="s">
        <v>13</v>
      </c>
      <c r="B22" s="4" t="s">
        <v>17</v>
      </c>
      <c r="C22" s="4" t="s">
        <v>38</v>
      </c>
      <c r="D22" s="4"/>
      <c r="E22" s="4"/>
      <c r="F22" s="4"/>
      <c r="G22" s="4"/>
      <c r="I22">
        <v>40</v>
      </c>
      <c r="J22">
        <f xml:space="preserve"> 0.5011*I22 + 9.1651</f>
        <v>29.209099999999999</v>
      </c>
      <c r="K22">
        <v>29.209099999999999</v>
      </c>
    </row>
    <row r="23" spans="1:11" x14ac:dyDescent="0.55000000000000004">
      <c r="A23" t="s">
        <v>4</v>
      </c>
      <c r="B23" t="s">
        <v>5</v>
      </c>
      <c r="C23" t="s">
        <v>6</v>
      </c>
      <c r="D23" t="s">
        <v>7</v>
      </c>
      <c r="E23" t="s">
        <v>8</v>
      </c>
      <c r="F23" t="s">
        <v>9</v>
      </c>
      <c r="G23" t="s">
        <v>10</v>
      </c>
    </row>
    <row r="24" spans="1:11" x14ac:dyDescent="0.55000000000000004">
      <c r="A24">
        <v>1</v>
      </c>
      <c r="B24">
        <v>56</v>
      </c>
      <c r="C24">
        <f t="shared" ref="C24:C28" si="11">B24/64</f>
        <v>0.875</v>
      </c>
      <c r="D24">
        <f t="shared" ref="D24:D28" si="12">C24/2</f>
        <v>0.4375</v>
      </c>
      <c r="E24">
        <v>24</v>
      </c>
      <c r="F24">
        <v>7</v>
      </c>
      <c r="G24">
        <f>E24+(F24/32)-D25+D24</f>
        <v>24.2265625</v>
      </c>
      <c r="I24" t="s">
        <v>14</v>
      </c>
      <c r="J24" s="5" t="s">
        <v>15</v>
      </c>
    </row>
    <row r="25" spans="1:11" x14ac:dyDescent="0.55000000000000004">
      <c r="A25">
        <f>1+A24</f>
        <v>2</v>
      </c>
      <c r="B25">
        <v>55</v>
      </c>
      <c r="C25">
        <f t="shared" si="11"/>
        <v>0.859375</v>
      </c>
      <c r="D25">
        <f t="shared" si="12"/>
        <v>0.4296875</v>
      </c>
      <c r="E25">
        <v>24</v>
      </c>
      <c r="F25">
        <v>10</v>
      </c>
      <c r="G25">
        <f t="shared" ref="G25:G28" si="13">E25+(F25/32)-D26+D25</f>
        <v>24.3046875</v>
      </c>
      <c r="I25">
        <v>80</v>
      </c>
      <c r="J25">
        <f xml:space="preserve"> 0.4034*I25 - 3.2562</f>
        <v>29.015799999999999</v>
      </c>
    </row>
    <row r="26" spans="1:11" x14ac:dyDescent="0.55000000000000004">
      <c r="A26">
        <f t="shared" ref="A26:A29" si="14">1+A25</f>
        <v>3</v>
      </c>
      <c r="B26">
        <v>56</v>
      </c>
      <c r="C26">
        <f t="shared" si="11"/>
        <v>0.875</v>
      </c>
      <c r="D26">
        <f t="shared" si="12"/>
        <v>0.4375</v>
      </c>
      <c r="E26">
        <v>24</v>
      </c>
      <c r="F26">
        <v>12</v>
      </c>
      <c r="G26">
        <f t="shared" si="13"/>
        <v>24.375</v>
      </c>
      <c r="J26">
        <v>29.015799999999999</v>
      </c>
    </row>
    <row r="27" spans="1:11" x14ac:dyDescent="0.55000000000000004">
      <c r="A27">
        <f t="shared" si="14"/>
        <v>4</v>
      </c>
      <c r="B27">
        <v>56</v>
      </c>
      <c r="C27">
        <f t="shared" si="11"/>
        <v>0.875</v>
      </c>
      <c r="D27">
        <f t="shared" si="12"/>
        <v>0.4375</v>
      </c>
      <c r="E27">
        <v>24</v>
      </c>
      <c r="F27">
        <v>11</v>
      </c>
      <c r="G27">
        <f t="shared" si="13"/>
        <v>24.34375</v>
      </c>
    </row>
    <row r="28" spans="1:11" x14ac:dyDescent="0.55000000000000004">
      <c r="A28">
        <f t="shared" si="14"/>
        <v>5</v>
      </c>
      <c r="B28">
        <v>56</v>
      </c>
      <c r="C28">
        <f t="shared" si="11"/>
        <v>0.875</v>
      </c>
      <c r="D28">
        <f t="shared" si="12"/>
        <v>0.4375</v>
      </c>
      <c r="E28">
        <v>24</v>
      </c>
      <c r="F28">
        <v>11</v>
      </c>
      <c r="G28">
        <f t="shared" si="13"/>
        <v>24.3515625</v>
      </c>
    </row>
    <row r="29" spans="1:11" x14ac:dyDescent="0.55000000000000004">
      <c r="A29">
        <f t="shared" si="14"/>
        <v>6</v>
      </c>
      <c r="B29">
        <v>55</v>
      </c>
      <c r="C29">
        <f t="shared" ref="C29" si="15">B29/64</f>
        <v>0.859375</v>
      </c>
      <c r="D29">
        <f t="shared" ref="D29" si="16">C29/2</f>
        <v>0.4296875</v>
      </c>
    </row>
    <row r="31" spans="1:11" x14ac:dyDescent="0.55000000000000004">
      <c r="A31" s="4" t="s">
        <v>11</v>
      </c>
      <c r="B31" s="4" t="s">
        <v>17</v>
      </c>
      <c r="C31" s="4" t="s">
        <v>38</v>
      </c>
      <c r="D31" s="4"/>
      <c r="E31" s="4"/>
      <c r="F31" s="4"/>
      <c r="G31" s="4"/>
    </row>
    <row r="32" spans="1:11" x14ac:dyDescent="0.55000000000000004">
      <c r="A32" t="s">
        <v>4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G32" t="s">
        <v>10</v>
      </c>
    </row>
    <row r="33" spans="1:14" x14ac:dyDescent="0.55000000000000004">
      <c r="A33">
        <v>1</v>
      </c>
      <c r="B33">
        <v>55</v>
      </c>
      <c r="C33">
        <f t="shared" ref="C33:C37" si="17">B33/64</f>
        <v>0.859375</v>
      </c>
      <c r="D33">
        <f t="shared" ref="D33:D37" si="18">C33/2</f>
        <v>0.4296875</v>
      </c>
      <c r="E33">
        <v>22</v>
      </c>
      <c r="F33">
        <v>2</v>
      </c>
      <c r="G33">
        <f>E33+(F33/32)-D34+D33</f>
        <v>22.0546875</v>
      </c>
    </row>
    <row r="34" spans="1:14" x14ac:dyDescent="0.55000000000000004">
      <c r="A34">
        <f>1+A33</f>
        <v>2</v>
      </c>
      <c r="B34">
        <v>56</v>
      </c>
      <c r="C34">
        <f t="shared" si="17"/>
        <v>0.875</v>
      </c>
      <c r="D34">
        <f t="shared" si="18"/>
        <v>0.4375</v>
      </c>
      <c r="E34">
        <v>22</v>
      </c>
      <c r="F34">
        <v>0</v>
      </c>
      <c r="G34">
        <f>E34+(F34/32)-D35+D34</f>
        <v>22</v>
      </c>
    </row>
    <row r="35" spans="1:14" x14ac:dyDescent="0.55000000000000004">
      <c r="A35">
        <f t="shared" ref="A35:A38" si="19">1+A34</f>
        <v>3</v>
      </c>
      <c r="B35">
        <v>56</v>
      </c>
      <c r="C35">
        <f t="shared" si="17"/>
        <v>0.875</v>
      </c>
      <c r="D35">
        <f t="shared" si="18"/>
        <v>0.4375</v>
      </c>
      <c r="E35">
        <v>22</v>
      </c>
      <c r="F35">
        <v>1</v>
      </c>
      <c r="G35">
        <f t="shared" ref="G35:G37" si="20">E35+(F35/32)-D36+D35</f>
        <v>22.03125</v>
      </c>
    </row>
    <row r="36" spans="1:14" x14ac:dyDescent="0.55000000000000004">
      <c r="A36">
        <f t="shared" si="19"/>
        <v>4</v>
      </c>
      <c r="B36">
        <v>56</v>
      </c>
      <c r="C36">
        <f t="shared" si="17"/>
        <v>0.875</v>
      </c>
      <c r="D36">
        <f t="shared" si="18"/>
        <v>0.4375</v>
      </c>
      <c r="E36">
        <v>22</v>
      </c>
      <c r="F36">
        <v>1</v>
      </c>
      <c r="G36">
        <f t="shared" si="20"/>
        <v>22.0390625</v>
      </c>
    </row>
    <row r="37" spans="1:14" x14ac:dyDescent="0.55000000000000004">
      <c r="A37">
        <f t="shared" si="19"/>
        <v>5</v>
      </c>
      <c r="B37">
        <v>55</v>
      </c>
      <c r="C37">
        <f t="shared" si="17"/>
        <v>0.859375</v>
      </c>
      <c r="D37">
        <f t="shared" si="18"/>
        <v>0.4296875</v>
      </c>
      <c r="E37">
        <v>22</v>
      </c>
      <c r="F37">
        <v>0</v>
      </c>
      <c r="G37">
        <f t="shared" si="20"/>
        <v>21.9921875</v>
      </c>
    </row>
    <row r="38" spans="1:14" x14ac:dyDescent="0.55000000000000004">
      <c r="A38">
        <f t="shared" si="19"/>
        <v>6</v>
      </c>
      <c r="B38">
        <v>56</v>
      </c>
      <c r="C38">
        <f t="shared" ref="C38" si="21">B38/64</f>
        <v>0.875</v>
      </c>
      <c r="D38">
        <f t="shared" ref="D38" si="22">C38/2</f>
        <v>0.4375</v>
      </c>
    </row>
    <row r="40" spans="1:14" s="4" customFormat="1" x14ac:dyDescent="0.55000000000000004">
      <c r="A40" s="4" t="s">
        <v>16</v>
      </c>
      <c r="B40" s="4" t="s">
        <v>17</v>
      </c>
      <c r="C40" s="4" t="s">
        <v>38</v>
      </c>
    </row>
    <row r="41" spans="1:14" x14ac:dyDescent="0.55000000000000004">
      <c r="A41" t="s">
        <v>4</v>
      </c>
      <c r="B41" t="s">
        <v>5</v>
      </c>
      <c r="C41" t="s">
        <v>6</v>
      </c>
      <c r="D41" t="s">
        <v>7</v>
      </c>
      <c r="E41" t="s">
        <v>8</v>
      </c>
      <c r="F41" t="s">
        <v>9</v>
      </c>
      <c r="G41" t="s">
        <v>10</v>
      </c>
      <c r="I41" t="s">
        <v>18</v>
      </c>
      <c r="J41" t="s">
        <v>19</v>
      </c>
      <c r="K41" t="s">
        <v>20</v>
      </c>
      <c r="L41" t="s">
        <v>21</v>
      </c>
      <c r="N41" s="7" t="s">
        <v>22</v>
      </c>
    </row>
    <row r="42" spans="1:14" x14ac:dyDescent="0.55000000000000004">
      <c r="A42">
        <v>1</v>
      </c>
      <c r="B42">
        <v>56</v>
      </c>
      <c r="C42">
        <f t="shared" ref="C42:C47" si="23">B42/64</f>
        <v>0.875</v>
      </c>
      <c r="D42">
        <f t="shared" ref="D42:D47" si="24">C42/2</f>
        <v>0.4375</v>
      </c>
      <c r="E42">
        <v>25</v>
      </c>
      <c r="F42">
        <v>0</v>
      </c>
      <c r="G42">
        <f>E42+(F42/32)-D43+D42</f>
        <v>25</v>
      </c>
      <c r="I42">
        <v>0</v>
      </c>
      <c r="J42">
        <f>AVERAGE(G42:G46)</f>
        <v>25.003125000000001</v>
      </c>
      <c r="K42">
        <f>I49*COUNT(G42:G46)</f>
        <v>125</v>
      </c>
      <c r="L42">
        <f>J42*COUNT(G42:G46)</f>
        <v>125.015625</v>
      </c>
      <c r="N42" s="7">
        <f>K42-L42</f>
        <v>-1.5625E-2</v>
      </c>
    </row>
    <row r="43" spans="1:14" x14ac:dyDescent="0.55000000000000004">
      <c r="A43">
        <f>1+A42</f>
        <v>2</v>
      </c>
      <c r="B43">
        <v>56</v>
      </c>
      <c r="C43">
        <f t="shared" si="23"/>
        <v>0.875</v>
      </c>
      <c r="D43">
        <f t="shared" si="24"/>
        <v>0.4375</v>
      </c>
      <c r="E43">
        <v>24</v>
      </c>
      <c r="F43">
        <v>31</v>
      </c>
      <c r="G43">
        <f t="shared" ref="G43:G46" si="25">E43+(F43/32)-D44+D43</f>
        <v>24.953125</v>
      </c>
    </row>
    <row r="44" spans="1:14" x14ac:dyDescent="0.55000000000000004">
      <c r="A44">
        <f t="shared" ref="A44:A47" si="26">1+A43</f>
        <v>3</v>
      </c>
      <c r="B44">
        <v>58</v>
      </c>
      <c r="C44">
        <f t="shared" si="23"/>
        <v>0.90625</v>
      </c>
      <c r="D44">
        <f t="shared" si="24"/>
        <v>0.453125</v>
      </c>
      <c r="E44">
        <v>24</v>
      </c>
      <c r="F44">
        <v>28</v>
      </c>
      <c r="G44">
        <f t="shared" si="25"/>
        <v>24.890625</v>
      </c>
      <c r="I44" s="4" t="s">
        <v>23</v>
      </c>
    </row>
    <row r="45" spans="1:14" x14ac:dyDescent="0.55000000000000004">
      <c r="A45">
        <f t="shared" si="26"/>
        <v>4</v>
      </c>
      <c r="B45">
        <v>56</v>
      </c>
      <c r="C45">
        <f t="shared" si="23"/>
        <v>0.875</v>
      </c>
      <c r="D45">
        <f t="shared" si="24"/>
        <v>0.4375</v>
      </c>
      <c r="E45">
        <v>24</v>
      </c>
      <c r="F45">
        <v>31</v>
      </c>
      <c r="G45">
        <f t="shared" si="25"/>
        <v>24.9609375</v>
      </c>
      <c r="I45" t="s">
        <v>24</v>
      </c>
      <c r="J45" t="s">
        <v>25</v>
      </c>
      <c r="K45" t="s">
        <v>26</v>
      </c>
      <c r="L45" t="s">
        <v>27</v>
      </c>
      <c r="N45" s="7" t="s">
        <v>22</v>
      </c>
    </row>
    <row r="46" spans="1:14" x14ac:dyDescent="0.55000000000000004">
      <c r="A46">
        <f t="shared" si="26"/>
        <v>5</v>
      </c>
      <c r="B46">
        <v>57</v>
      </c>
      <c r="C46">
        <f t="shared" si="23"/>
        <v>0.890625</v>
      </c>
      <c r="D46">
        <f t="shared" si="24"/>
        <v>0.4453125</v>
      </c>
      <c r="E46">
        <v>24</v>
      </c>
      <c r="F46">
        <v>31</v>
      </c>
      <c r="G46">
        <f t="shared" si="25"/>
        <v>25.2109375</v>
      </c>
      <c r="I46">
        <v>40</v>
      </c>
      <c r="J46">
        <f>AVERAGE(G42:G46)</f>
        <v>25.003125000000001</v>
      </c>
      <c r="K46">
        <f>I46*I49</f>
        <v>1000</v>
      </c>
      <c r="L46">
        <f>I46*J46</f>
        <v>1000.125</v>
      </c>
      <c r="N46" s="7">
        <f>K46-L46</f>
        <v>-0.125</v>
      </c>
    </row>
    <row r="47" spans="1:14" x14ac:dyDescent="0.55000000000000004">
      <c r="A47">
        <f t="shared" si="26"/>
        <v>6</v>
      </c>
      <c r="B47">
        <v>26</v>
      </c>
      <c r="C47">
        <f t="shared" si="23"/>
        <v>0.40625</v>
      </c>
      <c r="D47">
        <f t="shared" si="24"/>
        <v>0.203125</v>
      </c>
    </row>
    <row r="48" spans="1:14" x14ac:dyDescent="0.55000000000000004">
      <c r="I48" t="s">
        <v>28</v>
      </c>
    </row>
    <row r="49" spans="1:14" x14ac:dyDescent="0.55000000000000004">
      <c r="I49">
        <v>25</v>
      </c>
    </row>
    <row r="50" spans="1:14" s="4" customFormat="1" x14ac:dyDescent="0.55000000000000004">
      <c r="A50" s="4" t="s">
        <v>16</v>
      </c>
      <c r="B50" s="4" t="s">
        <v>29</v>
      </c>
      <c r="C50" s="4" t="s">
        <v>38</v>
      </c>
    </row>
    <row r="51" spans="1:14" x14ac:dyDescent="0.55000000000000004">
      <c r="A51" t="s">
        <v>4</v>
      </c>
      <c r="B51" t="s">
        <v>5</v>
      </c>
      <c r="C51" t="s">
        <v>6</v>
      </c>
      <c r="D51" t="s">
        <v>7</v>
      </c>
      <c r="E51" t="s">
        <v>8</v>
      </c>
      <c r="F51" t="s">
        <v>9</v>
      </c>
      <c r="G51" t="s">
        <v>10</v>
      </c>
      <c r="I51" t="s">
        <v>18</v>
      </c>
      <c r="J51" t="s">
        <v>19</v>
      </c>
      <c r="K51" t="s">
        <v>20</v>
      </c>
      <c r="L51" t="s">
        <v>21</v>
      </c>
      <c r="N51" s="7" t="s">
        <v>22</v>
      </c>
    </row>
    <row r="52" spans="1:14" x14ac:dyDescent="0.55000000000000004">
      <c r="A52">
        <v>1</v>
      </c>
      <c r="B52">
        <v>54</v>
      </c>
      <c r="C52">
        <f t="shared" ref="C52:C57" si="27">B52/64</f>
        <v>0.84375</v>
      </c>
      <c r="D52">
        <f t="shared" ref="D52:D57" si="28">C52/2</f>
        <v>0.421875</v>
      </c>
      <c r="E52">
        <v>40</v>
      </c>
      <c r="F52">
        <v>3</v>
      </c>
      <c r="G52">
        <f>E52+(F52/32)-D53+D52</f>
        <v>40.0703125</v>
      </c>
      <c r="I52">
        <v>0</v>
      </c>
      <c r="J52">
        <f>AVERAGE(G52:G56)</f>
        <v>40.159374999999997</v>
      </c>
      <c r="K52">
        <f>I59*COUNT(G52:G56)</f>
        <v>200</v>
      </c>
      <c r="L52">
        <f>J52*COUNT(G52:G56)</f>
        <v>200.796875</v>
      </c>
      <c r="N52" s="7">
        <f>K52-L52</f>
        <v>-0.796875</v>
      </c>
    </row>
    <row r="53" spans="1:14" x14ac:dyDescent="0.55000000000000004">
      <c r="A53">
        <f>1+A52</f>
        <v>2</v>
      </c>
      <c r="B53">
        <v>57</v>
      </c>
      <c r="C53">
        <f t="shared" si="27"/>
        <v>0.890625</v>
      </c>
      <c r="D53">
        <f t="shared" si="28"/>
        <v>0.4453125</v>
      </c>
      <c r="E53">
        <v>40</v>
      </c>
      <c r="F53">
        <v>9</v>
      </c>
      <c r="G53">
        <f t="shared" ref="G53:G56" si="29">E53+(F53/32)-D54+D53</f>
        <v>40.2890625</v>
      </c>
    </row>
    <row r="54" spans="1:14" x14ac:dyDescent="0.55000000000000004">
      <c r="A54">
        <f t="shared" ref="A54:A57" si="30">1+A53</f>
        <v>3</v>
      </c>
      <c r="B54">
        <v>56</v>
      </c>
      <c r="C54">
        <f t="shared" si="27"/>
        <v>0.875</v>
      </c>
      <c r="D54">
        <f t="shared" si="28"/>
        <v>0.4375</v>
      </c>
      <c r="E54">
        <v>40</v>
      </c>
      <c r="F54">
        <v>5</v>
      </c>
      <c r="G54">
        <f t="shared" si="29"/>
        <v>40.15625</v>
      </c>
      <c r="I54" s="4" t="s">
        <v>23</v>
      </c>
    </row>
    <row r="55" spans="1:14" x14ac:dyDescent="0.55000000000000004">
      <c r="A55">
        <f t="shared" si="30"/>
        <v>4</v>
      </c>
      <c r="B55">
        <v>56</v>
      </c>
      <c r="C55">
        <f t="shared" si="27"/>
        <v>0.875</v>
      </c>
      <c r="D55">
        <f t="shared" si="28"/>
        <v>0.4375</v>
      </c>
      <c r="E55">
        <v>40</v>
      </c>
      <c r="F55">
        <v>5</v>
      </c>
      <c r="G55">
        <f t="shared" si="29"/>
        <v>40.15625</v>
      </c>
      <c r="I55" t="s">
        <v>24</v>
      </c>
      <c r="J55" t="s">
        <v>25</v>
      </c>
      <c r="K55" t="s">
        <v>26</v>
      </c>
      <c r="L55" t="s">
        <v>27</v>
      </c>
      <c r="N55" s="7" t="s">
        <v>22</v>
      </c>
    </row>
    <row r="56" spans="1:14" x14ac:dyDescent="0.55000000000000004">
      <c r="A56">
        <f t="shared" si="30"/>
        <v>5</v>
      </c>
      <c r="B56">
        <v>56</v>
      </c>
      <c r="C56">
        <f t="shared" si="27"/>
        <v>0.875</v>
      </c>
      <c r="D56">
        <f t="shared" si="28"/>
        <v>0.4375</v>
      </c>
      <c r="E56">
        <v>40</v>
      </c>
      <c r="F56">
        <v>4</v>
      </c>
      <c r="G56">
        <f t="shared" si="29"/>
        <v>40.125</v>
      </c>
      <c r="I56">
        <v>40</v>
      </c>
      <c r="J56">
        <f>AVERAGE(G52:G56)</f>
        <v>40.159374999999997</v>
      </c>
      <c r="K56">
        <f>I56*I59</f>
        <v>1600</v>
      </c>
      <c r="L56">
        <f>I56*J56</f>
        <v>1606.375</v>
      </c>
      <c r="N56" s="7">
        <f>K56-L56</f>
        <v>-6.375</v>
      </c>
    </row>
    <row r="57" spans="1:14" x14ac:dyDescent="0.55000000000000004">
      <c r="A57">
        <f t="shared" si="30"/>
        <v>6</v>
      </c>
      <c r="B57">
        <v>56</v>
      </c>
      <c r="C57">
        <f t="shared" si="27"/>
        <v>0.875</v>
      </c>
      <c r="D57">
        <f t="shared" si="28"/>
        <v>0.4375</v>
      </c>
    </row>
    <row r="58" spans="1:14" x14ac:dyDescent="0.55000000000000004">
      <c r="I58" t="s">
        <v>28</v>
      </c>
    </row>
    <row r="59" spans="1:14" x14ac:dyDescent="0.55000000000000004">
      <c r="I59">
        <v>40</v>
      </c>
    </row>
    <row r="60" spans="1:14" s="4" customFormat="1" x14ac:dyDescent="0.55000000000000004">
      <c r="A60" s="4" t="s">
        <v>30</v>
      </c>
      <c r="B60" s="4" t="s">
        <v>29</v>
      </c>
      <c r="C60" s="4" t="s">
        <v>38</v>
      </c>
    </row>
    <row r="61" spans="1:14" x14ac:dyDescent="0.55000000000000004">
      <c r="A61" t="s">
        <v>4</v>
      </c>
      <c r="B61" t="s">
        <v>5</v>
      </c>
      <c r="C61" t="s">
        <v>6</v>
      </c>
      <c r="D61" t="s">
        <v>7</v>
      </c>
      <c r="E61" t="s">
        <v>8</v>
      </c>
      <c r="F61" t="s">
        <v>9</v>
      </c>
      <c r="G61" t="s">
        <v>10</v>
      </c>
      <c r="I61" t="s">
        <v>18</v>
      </c>
      <c r="J61" t="s">
        <v>19</v>
      </c>
      <c r="K61" t="s">
        <v>20</v>
      </c>
      <c r="L61" t="s">
        <v>21</v>
      </c>
      <c r="N61" s="7" t="s">
        <v>22</v>
      </c>
    </row>
    <row r="62" spans="1:14" x14ac:dyDescent="0.55000000000000004">
      <c r="A62">
        <v>1</v>
      </c>
      <c r="B62">
        <v>56</v>
      </c>
      <c r="C62">
        <f t="shared" ref="C62:C68" si="31">B62/64</f>
        <v>0.875</v>
      </c>
      <c r="D62">
        <f t="shared" ref="D62:D68" si="32">C62/2</f>
        <v>0.4375</v>
      </c>
      <c r="E62">
        <v>39</v>
      </c>
      <c r="F62">
        <v>31</v>
      </c>
      <c r="G62">
        <f>E62+(F62/32)-D63+D62</f>
        <v>39.96875</v>
      </c>
      <c r="I62">
        <v>0</v>
      </c>
      <c r="J62">
        <f>AVERAGE(G62:G66)</f>
        <v>39.982812500000001</v>
      </c>
      <c r="K62">
        <f>I69*COUNT(G62:G67)</f>
        <v>240</v>
      </c>
      <c r="L62">
        <f>J62*COUNT(G62:G67)</f>
        <v>239.89687500000002</v>
      </c>
      <c r="N62" s="7">
        <f>K62-L62</f>
        <v>0.10312499999997726</v>
      </c>
    </row>
    <row r="63" spans="1:14" x14ac:dyDescent="0.55000000000000004">
      <c r="A63">
        <f>1+A62</f>
        <v>2</v>
      </c>
      <c r="B63">
        <v>56</v>
      </c>
      <c r="C63">
        <f t="shared" si="31"/>
        <v>0.875</v>
      </c>
      <c r="D63">
        <f t="shared" si="32"/>
        <v>0.4375</v>
      </c>
      <c r="E63">
        <v>40</v>
      </c>
      <c r="F63">
        <v>1</v>
      </c>
      <c r="G63">
        <f t="shared" ref="G63:G67" si="33">E63+(F63/32)-D64+D63</f>
        <v>40.0390625</v>
      </c>
    </row>
    <row r="64" spans="1:14" x14ac:dyDescent="0.55000000000000004">
      <c r="A64">
        <f t="shared" ref="A64:A68" si="34">1+A63</f>
        <v>3</v>
      </c>
      <c r="B64">
        <v>55</v>
      </c>
      <c r="C64">
        <f t="shared" si="31"/>
        <v>0.859375</v>
      </c>
      <c r="D64">
        <f t="shared" si="32"/>
        <v>0.4296875</v>
      </c>
      <c r="E64">
        <v>39</v>
      </c>
      <c r="F64">
        <v>29</v>
      </c>
      <c r="G64">
        <f t="shared" si="33"/>
        <v>39.8984375</v>
      </c>
      <c r="I64" s="4" t="s">
        <v>23</v>
      </c>
    </row>
    <row r="65" spans="1:14" x14ac:dyDescent="0.55000000000000004">
      <c r="A65">
        <f t="shared" si="34"/>
        <v>4</v>
      </c>
      <c r="B65">
        <v>56</v>
      </c>
      <c r="C65">
        <f t="shared" si="31"/>
        <v>0.875</v>
      </c>
      <c r="D65">
        <f t="shared" si="32"/>
        <v>0.4375</v>
      </c>
      <c r="E65">
        <v>40</v>
      </c>
      <c r="F65">
        <v>0</v>
      </c>
      <c r="G65">
        <f t="shared" si="33"/>
        <v>40</v>
      </c>
      <c r="I65" t="s">
        <v>24</v>
      </c>
      <c r="J65" t="s">
        <v>25</v>
      </c>
      <c r="K65" t="s">
        <v>26</v>
      </c>
      <c r="L65" t="s">
        <v>27</v>
      </c>
      <c r="N65" s="7" t="s">
        <v>22</v>
      </c>
    </row>
    <row r="66" spans="1:14" x14ac:dyDescent="0.55000000000000004">
      <c r="A66">
        <f t="shared" si="34"/>
        <v>5</v>
      </c>
      <c r="B66">
        <v>56</v>
      </c>
      <c r="C66">
        <f t="shared" si="31"/>
        <v>0.875</v>
      </c>
      <c r="D66">
        <f t="shared" si="32"/>
        <v>0.4375</v>
      </c>
      <c r="E66">
        <v>40</v>
      </c>
      <c r="F66">
        <v>0</v>
      </c>
      <c r="G66">
        <f t="shared" si="33"/>
        <v>40.0078125</v>
      </c>
      <c r="I66">
        <v>80</v>
      </c>
      <c r="J66">
        <f>AVERAGE(G62:G67)</f>
        <v>39.985677083333336</v>
      </c>
      <c r="K66">
        <f>I66*I69</f>
        <v>3200</v>
      </c>
      <c r="L66">
        <f>I66*J66</f>
        <v>3198.854166666667</v>
      </c>
      <c r="N66" s="7">
        <f>K66-L66</f>
        <v>1.1458333333330302</v>
      </c>
    </row>
    <row r="67" spans="1:14" x14ac:dyDescent="0.55000000000000004">
      <c r="A67">
        <f t="shared" si="34"/>
        <v>6</v>
      </c>
      <c r="B67">
        <v>55</v>
      </c>
      <c r="C67">
        <f t="shared" si="31"/>
        <v>0.859375</v>
      </c>
      <c r="D67">
        <f t="shared" si="32"/>
        <v>0.4296875</v>
      </c>
      <c r="E67">
        <v>40</v>
      </c>
      <c r="F67">
        <v>0</v>
      </c>
      <c r="G67">
        <f t="shared" si="33"/>
        <v>40</v>
      </c>
    </row>
    <row r="68" spans="1:14" x14ac:dyDescent="0.55000000000000004">
      <c r="A68">
        <f t="shared" si="34"/>
        <v>7</v>
      </c>
      <c r="B68">
        <v>55</v>
      </c>
      <c r="C68">
        <f t="shared" si="31"/>
        <v>0.859375</v>
      </c>
      <c r="D68">
        <f t="shared" si="32"/>
        <v>0.4296875</v>
      </c>
      <c r="I68" t="s">
        <v>28</v>
      </c>
    </row>
    <row r="69" spans="1:14" x14ac:dyDescent="0.55000000000000004">
      <c r="I69">
        <v>40</v>
      </c>
    </row>
    <row r="71" spans="1:14" s="4" customFormat="1" x14ac:dyDescent="0.55000000000000004">
      <c r="A71" s="4" t="s">
        <v>30</v>
      </c>
      <c r="B71" s="4" t="s">
        <v>31</v>
      </c>
      <c r="C71" s="4" t="s">
        <v>38</v>
      </c>
    </row>
    <row r="72" spans="1:14" x14ac:dyDescent="0.55000000000000004">
      <c r="A72" t="s">
        <v>4</v>
      </c>
      <c r="B72" t="s">
        <v>5</v>
      </c>
      <c r="C72" t="s">
        <v>6</v>
      </c>
      <c r="D72" t="s">
        <v>7</v>
      </c>
      <c r="E72" t="s">
        <v>8</v>
      </c>
      <c r="F72" t="s">
        <v>9</v>
      </c>
      <c r="G72" t="s">
        <v>10</v>
      </c>
      <c r="I72" t="s">
        <v>18</v>
      </c>
      <c r="J72" t="s">
        <v>19</v>
      </c>
      <c r="K72" t="s">
        <v>20</v>
      </c>
      <c r="L72" t="s">
        <v>21</v>
      </c>
      <c r="N72" s="7" t="s">
        <v>22</v>
      </c>
    </row>
    <row r="73" spans="1:14" x14ac:dyDescent="0.55000000000000004">
      <c r="A73">
        <v>1</v>
      </c>
      <c r="B73">
        <v>55</v>
      </c>
      <c r="C73">
        <f t="shared" ref="C73:C76" si="35">B73/64</f>
        <v>0.859375</v>
      </c>
      <c r="D73">
        <f t="shared" ref="D73:D76" si="36">C73/2</f>
        <v>0.4296875</v>
      </c>
      <c r="E73">
        <v>80</v>
      </c>
      <c r="F73">
        <v>15</v>
      </c>
      <c r="G73">
        <f>E73+(F73/32)-D74+D73</f>
        <v>80.46875</v>
      </c>
      <c r="I73">
        <v>0</v>
      </c>
      <c r="J73">
        <f>AVERAGE(G73:G77)</f>
        <v>80.458333333333329</v>
      </c>
      <c r="K73">
        <f>I80*COUNT(G73:G78)</f>
        <v>240</v>
      </c>
      <c r="L73">
        <f>J73*COUNT(G73:G78)</f>
        <v>241.375</v>
      </c>
      <c r="N73" s="7">
        <f>K73-L73</f>
        <v>-1.375</v>
      </c>
    </row>
    <row r="74" spans="1:14" x14ac:dyDescent="0.55000000000000004">
      <c r="A74">
        <f>1+A73</f>
        <v>2</v>
      </c>
      <c r="B74">
        <v>55</v>
      </c>
      <c r="C74">
        <f t="shared" si="35"/>
        <v>0.859375</v>
      </c>
      <c r="D74">
        <f t="shared" si="36"/>
        <v>0.4296875</v>
      </c>
      <c r="E74">
        <v>80</v>
      </c>
      <c r="F74">
        <v>14</v>
      </c>
      <c r="G74">
        <f t="shared" ref="G74:G75" si="37">E74+(F74/32)-D75+D74</f>
        <v>80.4375</v>
      </c>
    </row>
    <row r="75" spans="1:14" x14ac:dyDescent="0.55000000000000004">
      <c r="A75">
        <f t="shared" ref="A75:A76" si="38">1+A74</f>
        <v>3</v>
      </c>
      <c r="B75">
        <v>55</v>
      </c>
      <c r="C75">
        <f t="shared" si="35"/>
        <v>0.859375</v>
      </c>
      <c r="D75">
        <f t="shared" si="36"/>
        <v>0.4296875</v>
      </c>
      <c r="E75">
        <v>80</v>
      </c>
      <c r="F75">
        <v>15</v>
      </c>
      <c r="G75">
        <f t="shared" si="37"/>
        <v>80.46875</v>
      </c>
      <c r="I75" s="4" t="s">
        <v>23</v>
      </c>
    </row>
    <row r="76" spans="1:14" x14ac:dyDescent="0.55000000000000004">
      <c r="A76">
        <f t="shared" si="38"/>
        <v>4</v>
      </c>
      <c r="B76">
        <v>55</v>
      </c>
      <c r="C76">
        <f t="shared" si="35"/>
        <v>0.859375</v>
      </c>
      <c r="D76">
        <f t="shared" si="36"/>
        <v>0.4296875</v>
      </c>
      <c r="I76" t="s">
        <v>24</v>
      </c>
      <c r="J76" t="s">
        <v>25</v>
      </c>
      <c r="K76" t="s">
        <v>26</v>
      </c>
      <c r="L76" t="s">
        <v>27</v>
      </c>
      <c r="N76" s="7" t="s">
        <v>22</v>
      </c>
    </row>
    <row r="77" spans="1:14" x14ac:dyDescent="0.55000000000000004">
      <c r="B77" t="s">
        <v>32</v>
      </c>
      <c r="I77">
        <v>40</v>
      </c>
      <c r="J77">
        <f>AVERAGE(G73:G78)</f>
        <v>80.458333333333329</v>
      </c>
      <c r="K77">
        <f>I77*I80</f>
        <v>3200</v>
      </c>
      <c r="L77">
        <f>I77*J77</f>
        <v>3218.333333333333</v>
      </c>
      <c r="N77" s="7">
        <f>K77-L77</f>
        <v>-18.33333333333303</v>
      </c>
    </row>
    <row r="79" spans="1:14" x14ac:dyDescent="0.55000000000000004">
      <c r="A79" s="4"/>
      <c r="B79" s="4"/>
      <c r="C79" s="4"/>
      <c r="D79" s="4"/>
      <c r="E79" s="4"/>
      <c r="F79" s="4"/>
      <c r="G79" s="4"/>
      <c r="H79" s="4"/>
      <c r="I79" t="s">
        <v>28</v>
      </c>
    </row>
    <row r="80" spans="1:14" x14ac:dyDescent="0.55000000000000004">
      <c r="A80" s="4" t="s">
        <v>37</v>
      </c>
      <c r="B80" s="4" t="s">
        <v>31</v>
      </c>
      <c r="C80" s="4" t="s">
        <v>38</v>
      </c>
      <c r="D80" s="4"/>
      <c r="E80" s="4"/>
      <c r="F80" s="4"/>
      <c r="G80" s="4"/>
      <c r="H80" s="4"/>
      <c r="I80">
        <v>80</v>
      </c>
    </row>
    <row r="81" spans="1:14" x14ac:dyDescent="0.55000000000000004">
      <c r="A81" t="s">
        <v>4</v>
      </c>
      <c r="B81" t="s">
        <v>5</v>
      </c>
      <c r="C81" t="s">
        <v>6</v>
      </c>
      <c r="D81" t="s">
        <v>7</v>
      </c>
      <c r="E81" t="s">
        <v>8</v>
      </c>
      <c r="F81" t="s">
        <v>9</v>
      </c>
      <c r="G81" t="s">
        <v>10</v>
      </c>
      <c r="I81" t="s">
        <v>18</v>
      </c>
      <c r="J81" t="s">
        <v>19</v>
      </c>
      <c r="K81" t="s">
        <v>20</v>
      </c>
      <c r="L81" t="s">
        <v>21</v>
      </c>
      <c r="N81" s="7" t="s">
        <v>22</v>
      </c>
    </row>
    <row r="82" spans="1:14" x14ac:dyDescent="0.55000000000000004">
      <c r="A82">
        <v>1</v>
      </c>
      <c r="B82">
        <v>54</v>
      </c>
      <c r="C82">
        <f t="shared" ref="C82:C85" si="39">B82/64</f>
        <v>0.84375</v>
      </c>
      <c r="D82">
        <f t="shared" ref="D82:D85" si="40">C82/2</f>
        <v>0.421875</v>
      </c>
      <c r="E82">
        <v>80</v>
      </c>
      <c r="F82">
        <v>5</v>
      </c>
      <c r="G82">
        <f>E82+(F82/32)-D83+D82</f>
        <v>80.15625</v>
      </c>
      <c r="I82">
        <v>0</v>
      </c>
      <c r="J82">
        <f>AVERAGE(G82:G86)</f>
        <v>80.0703125</v>
      </c>
      <c r="K82">
        <f>I89*COUNT(G82:G87)</f>
        <v>240</v>
      </c>
      <c r="L82">
        <f>J82*COUNT(G82:G87)</f>
        <v>240.2109375</v>
      </c>
      <c r="N82" s="7">
        <f>K82-L82</f>
        <v>-0.2109375</v>
      </c>
    </row>
    <row r="83" spans="1:14" x14ac:dyDescent="0.55000000000000004">
      <c r="A83">
        <f>1+A82</f>
        <v>2</v>
      </c>
      <c r="B83">
        <v>54</v>
      </c>
      <c r="C83">
        <f t="shared" si="39"/>
        <v>0.84375</v>
      </c>
      <c r="D83">
        <f t="shared" si="40"/>
        <v>0.421875</v>
      </c>
      <c r="E83">
        <v>80</v>
      </c>
      <c r="F83">
        <v>0</v>
      </c>
      <c r="G83">
        <f t="shared" ref="G83:G84" si="41">E83+(F83/32)-D84+D83</f>
        <v>79.9921875</v>
      </c>
    </row>
    <row r="84" spans="1:14" x14ac:dyDescent="0.55000000000000004">
      <c r="A84">
        <f t="shared" ref="A84:A85" si="42">1+A83</f>
        <v>3</v>
      </c>
      <c r="B84">
        <v>55</v>
      </c>
      <c r="C84">
        <f t="shared" si="39"/>
        <v>0.859375</v>
      </c>
      <c r="D84">
        <f t="shared" si="40"/>
        <v>0.4296875</v>
      </c>
      <c r="E84">
        <v>80</v>
      </c>
      <c r="F84">
        <v>2</v>
      </c>
      <c r="G84">
        <f t="shared" si="41"/>
        <v>80.0625</v>
      </c>
      <c r="I84" s="4" t="s">
        <v>23</v>
      </c>
    </row>
    <row r="85" spans="1:14" x14ac:dyDescent="0.55000000000000004">
      <c r="A85">
        <f t="shared" si="42"/>
        <v>4</v>
      </c>
      <c r="B85">
        <v>55</v>
      </c>
      <c r="C85">
        <f t="shared" si="39"/>
        <v>0.859375</v>
      </c>
      <c r="D85">
        <f t="shared" si="40"/>
        <v>0.4296875</v>
      </c>
      <c r="I85" t="s">
        <v>24</v>
      </c>
      <c r="J85" t="s">
        <v>25</v>
      </c>
      <c r="K85" t="s">
        <v>26</v>
      </c>
      <c r="L85" t="s">
        <v>27</v>
      </c>
      <c r="N85" s="7" t="s">
        <v>22</v>
      </c>
    </row>
    <row r="86" spans="1:14" x14ac:dyDescent="0.55000000000000004">
      <c r="B86" t="s">
        <v>32</v>
      </c>
      <c r="I86">
        <v>40</v>
      </c>
      <c r="J86">
        <f>AVERAGE(G82:G87)</f>
        <v>80.0703125</v>
      </c>
      <c r="K86">
        <f>I86*I89</f>
        <v>3200</v>
      </c>
      <c r="L86">
        <f>I86*J86</f>
        <v>3202.8125</v>
      </c>
      <c r="N86" s="7">
        <f>K86-L86</f>
        <v>-2.8125</v>
      </c>
    </row>
    <row r="88" spans="1:14" x14ac:dyDescent="0.55000000000000004">
      <c r="I88" t="s">
        <v>28</v>
      </c>
    </row>
    <row r="89" spans="1:14" x14ac:dyDescent="0.55000000000000004">
      <c r="I89">
        <v>80</v>
      </c>
    </row>
    <row r="91" spans="1:14" x14ac:dyDescent="0.55000000000000004">
      <c r="A91" s="4" t="s">
        <v>40</v>
      </c>
      <c r="B91" s="4" t="s">
        <v>29</v>
      </c>
      <c r="C91" s="4" t="s">
        <v>38</v>
      </c>
      <c r="D91" s="4"/>
      <c r="E91" s="4"/>
      <c r="F91" s="4"/>
      <c r="G91" s="4"/>
      <c r="H91" s="4"/>
      <c r="I91">
        <v>80</v>
      </c>
    </row>
    <row r="92" spans="1:14" x14ac:dyDescent="0.55000000000000004">
      <c r="A92" t="s">
        <v>4</v>
      </c>
      <c r="B92" t="s">
        <v>5</v>
      </c>
      <c r="C92" t="s">
        <v>6</v>
      </c>
      <c r="D92" t="s">
        <v>7</v>
      </c>
      <c r="E92" t="s">
        <v>8</v>
      </c>
      <c r="F92" t="s">
        <v>9</v>
      </c>
      <c r="G92" t="s">
        <v>10</v>
      </c>
      <c r="I92" t="s">
        <v>18</v>
      </c>
      <c r="J92" t="s">
        <v>19</v>
      </c>
      <c r="K92" t="s">
        <v>20</v>
      </c>
      <c r="L92" t="s">
        <v>21</v>
      </c>
      <c r="N92" s="7" t="s">
        <v>22</v>
      </c>
    </row>
    <row r="93" spans="1:14" x14ac:dyDescent="0.55000000000000004">
      <c r="A93">
        <v>1</v>
      </c>
      <c r="B93">
        <v>56</v>
      </c>
      <c r="C93">
        <f t="shared" ref="C93:C95" si="43">B93/64</f>
        <v>0.875</v>
      </c>
      <c r="D93">
        <f t="shared" ref="D93:D95" si="44">C93/2</f>
        <v>0.4375</v>
      </c>
      <c r="E93">
        <v>39</v>
      </c>
      <c r="F93">
        <v>28</v>
      </c>
      <c r="G93">
        <f>E93+(F93/32)-D94+D93</f>
        <v>39.875</v>
      </c>
      <c r="I93">
        <v>0</v>
      </c>
      <c r="J93">
        <f>AVERAGE(G93:G96)</f>
        <v>39.693359375</v>
      </c>
      <c r="K93">
        <f>I100*COUNT(G93:G96)</f>
        <v>160</v>
      </c>
      <c r="L93">
        <f>J93*COUNT(G93:G96)</f>
        <v>158.7734375</v>
      </c>
      <c r="N93" s="7">
        <f>K93-L93</f>
        <v>1.2265625</v>
      </c>
    </row>
    <row r="94" spans="1:14" x14ac:dyDescent="0.55000000000000004">
      <c r="A94">
        <f>1+A93</f>
        <v>2</v>
      </c>
      <c r="B94">
        <v>56</v>
      </c>
      <c r="C94">
        <f t="shared" si="43"/>
        <v>0.875</v>
      </c>
      <c r="D94">
        <f t="shared" si="44"/>
        <v>0.4375</v>
      </c>
      <c r="E94">
        <v>39</v>
      </c>
      <c r="F94">
        <v>20</v>
      </c>
      <c r="G94">
        <f t="shared" ref="G94:G95" si="45">E94+(F94/32)-D95+D94</f>
        <v>39.6328125</v>
      </c>
    </row>
    <row r="95" spans="1:14" x14ac:dyDescent="0.55000000000000004">
      <c r="A95">
        <f t="shared" ref="A95" si="46">1+A94</f>
        <v>3</v>
      </c>
      <c r="B95">
        <v>55</v>
      </c>
      <c r="C95">
        <f t="shared" si="43"/>
        <v>0.859375</v>
      </c>
      <c r="D95">
        <f t="shared" si="44"/>
        <v>0.4296875</v>
      </c>
      <c r="E95">
        <v>39</v>
      </c>
      <c r="F95">
        <v>20</v>
      </c>
      <c r="G95">
        <f t="shared" si="45"/>
        <v>39.625</v>
      </c>
      <c r="I95" s="4" t="s">
        <v>23</v>
      </c>
    </row>
    <row r="96" spans="1:14" x14ac:dyDescent="0.55000000000000004">
      <c r="A96">
        <f t="shared" ref="A96:A97" si="47">1+A95</f>
        <v>4</v>
      </c>
      <c r="B96">
        <v>55</v>
      </c>
      <c r="C96">
        <f t="shared" ref="C96:C97" si="48">B96/64</f>
        <v>0.859375</v>
      </c>
      <c r="D96">
        <f t="shared" ref="D96:D97" si="49">C96/2</f>
        <v>0.4296875</v>
      </c>
      <c r="E96">
        <v>39</v>
      </c>
      <c r="F96">
        <v>21</v>
      </c>
      <c r="G96">
        <f t="shared" ref="G96" si="50">E96+(F96/32)-D97+D96</f>
        <v>39.640625</v>
      </c>
      <c r="I96" t="s">
        <v>24</v>
      </c>
      <c r="J96" t="s">
        <v>25</v>
      </c>
      <c r="K96" t="s">
        <v>26</v>
      </c>
      <c r="L96" t="s">
        <v>27</v>
      </c>
      <c r="N96" s="7" t="s">
        <v>22</v>
      </c>
    </row>
    <row r="97" spans="1:14" x14ac:dyDescent="0.55000000000000004">
      <c r="A97">
        <f t="shared" si="47"/>
        <v>5</v>
      </c>
      <c r="B97">
        <v>57</v>
      </c>
      <c r="C97">
        <f t="shared" si="48"/>
        <v>0.890625</v>
      </c>
      <c r="D97">
        <f t="shared" si="49"/>
        <v>0.4453125</v>
      </c>
      <c r="I97">
        <v>80</v>
      </c>
      <c r="J97">
        <f>AVERAGE(G93:G98)</f>
        <v>39.693359375</v>
      </c>
      <c r="K97">
        <f>I97*I100</f>
        <v>3200</v>
      </c>
      <c r="L97">
        <f>I97*J97</f>
        <v>3175.46875</v>
      </c>
      <c r="N97" s="7">
        <f>K97-L97</f>
        <v>24.53125</v>
      </c>
    </row>
    <row r="99" spans="1:14" x14ac:dyDescent="0.55000000000000004">
      <c r="I99" t="s">
        <v>28</v>
      </c>
    </row>
    <row r="100" spans="1:14" x14ac:dyDescent="0.55000000000000004">
      <c r="I100">
        <v>40</v>
      </c>
    </row>
    <row r="103" spans="1:14" x14ac:dyDescent="0.55000000000000004">
      <c r="A103" s="4" t="s">
        <v>40</v>
      </c>
      <c r="B103" s="4" t="s">
        <v>29</v>
      </c>
      <c r="C103" s="4" t="s">
        <v>39</v>
      </c>
      <c r="D103" s="4"/>
      <c r="E103" s="4"/>
      <c r="F103" s="4"/>
      <c r="G103" s="4"/>
      <c r="H103" s="4"/>
      <c r="I103">
        <v>80</v>
      </c>
    </row>
    <row r="104" spans="1:14" x14ac:dyDescent="0.55000000000000004">
      <c r="A104" t="s">
        <v>4</v>
      </c>
      <c r="B104" t="s">
        <v>5</v>
      </c>
      <c r="C104" t="s">
        <v>6</v>
      </c>
      <c r="D104" t="s">
        <v>7</v>
      </c>
      <c r="E104" t="s">
        <v>8</v>
      </c>
      <c r="F104" t="s">
        <v>9</v>
      </c>
      <c r="G104" t="s">
        <v>10</v>
      </c>
      <c r="I104" t="s">
        <v>18</v>
      </c>
      <c r="J104" t="s">
        <v>19</v>
      </c>
      <c r="K104" t="s">
        <v>20</v>
      </c>
      <c r="L104" t="s">
        <v>21</v>
      </c>
      <c r="N104" s="7" t="s">
        <v>22</v>
      </c>
    </row>
    <row r="105" spans="1:14" x14ac:dyDescent="0.55000000000000004">
      <c r="A105">
        <v>1</v>
      </c>
      <c r="B105">
        <v>57</v>
      </c>
      <c r="C105">
        <f t="shared" ref="C105:C107" si="51">B105/64</f>
        <v>0.890625</v>
      </c>
      <c r="D105">
        <f t="shared" ref="D105:D107" si="52">C105/2</f>
        <v>0.4453125</v>
      </c>
      <c r="E105">
        <v>39</v>
      </c>
      <c r="F105">
        <v>24</v>
      </c>
      <c r="G105">
        <f>E105+(F105/32)-D106+D105</f>
        <v>39.7421875</v>
      </c>
      <c r="I105">
        <v>0</v>
      </c>
      <c r="J105">
        <f>AVERAGE(G105:G109)</f>
        <v>39.755859375</v>
      </c>
      <c r="K105">
        <f>I112*COUNT(G105:G108)</f>
        <v>160</v>
      </c>
      <c r="L105">
        <f>J105*COUNT(G105:G108)</f>
        <v>159.0234375</v>
      </c>
      <c r="N105" s="7">
        <f>K105-L105</f>
        <v>0.9765625</v>
      </c>
    </row>
    <row r="106" spans="1:14" x14ac:dyDescent="0.55000000000000004">
      <c r="A106">
        <f>1+A105</f>
        <v>2</v>
      </c>
      <c r="B106">
        <v>58</v>
      </c>
      <c r="C106">
        <f t="shared" si="51"/>
        <v>0.90625</v>
      </c>
      <c r="D106">
        <f t="shared" si="52"/>
        <v>0.453125</v>
      </c>
      <c r="E106">
        <v>39</v>
      </c>
      <c r="F106">
        <v>21</v>
      </c>
      <c r="G106">
        <f t="shared" ref="G106:G107" si="53">E106+(F106/32)-D107+D106</f>
        <v>39.65625</v>
      </c>
    </row>
    <row r="107" spans="1:14" x14ac:dyDescent="0.55000000000000004">
      <c r="A107">
        <f t="shared" ref="A107" si="54">1+A106</f>
        <v>3</v>
      </c>
      <c r="B107">
        <v>58</v>
      </c>
      <c r="C107">
        <f t="shared" si="51"/>
        <v>0.90625</v>
      </c>
      <c r="D107">
        <f t="shared" si="52"/>
        <v>0.453125</v>
      </c>
      <c r="E107">
        <v>39</v>
      </c>
      <c r="F107">
        <v>29</v>
      </c>
      <c r="G107">
        <f t="shared" si="53"/>
        <v>39.90625</v>
      </c>
      <c r="I107" s="4" t="s">
        <v>23</v>
      </c>
    </row>
    <row r="108" spans="1:14" x14ac:dyDescent="0.55000000000000004">
      <c r="A108">
        <f t="shared" ref="A108:A109" si="55">1+A107</f>
        <v>4</v>
      </c>
      <c r="B108">
        <v>58</v>
      </c>
      <c r="C108">
        <f t="shared" ref="C108:C109" si="56">B108/64</f>
        <v>0.90625</v>
      </c>
      <c r="D108">
        <f t="shared" ref="D108:D109" si="57">C108/2</f>
        <v>0.453125</v>
      </c>
      <c r="E108">
        <v>39</v>
      </c>
      <c r="F108">
        <v>23</v>
      </c>
      <c r="G108">
        <f t="shared" ref="G108" si="58">E108+(F108/32)-D109+D108</f>
        <v>39.71875</v>
      </c>
      <c r="I108" t="s">
        <v>24</v>
      </c>
      <c r="J108" t="s">
        <v>25</v>
      </c>
      <c r="K108" t="s">
        <v>26</v>
      </c>
      <c r="L108" t="s">
        <v>27</v>
      </c>
      <c r="N108" s="7" t="s">
        <v>22</v>
      </c>
    </row>
    <row r="109" spans="1:14" x14ac:dyDescent="0.55000000000000004">
      <c r="A109">
        <f t="shared" si="55"/>
        <v>5</v>
      </c>
      <c r="B109">
        <v>58</v>
      </c>
      <c r="C109">
        <f t="shared" si="56"/>
        <v>0.90625</v>
      </c>
      <c r="D109">
        <f t="shared" si="57"/>
        <v>0.453125</v>
      </c>
      <c r="I109">
        <v>80</v>
      </c>
      <c r="J109">
        <f>AVERAGE(G105:G110)</f>
        <v>39.755859375</v>
      </c>
      <c r="K109">
        <f>I109*I112</f>
        <v>3200</v>
      </c>
      <c r="L109">
        <f>I109*J109</f>
        <v>3180.46875</v>
      </c>
      <c r="N109" s="7">
        <f>K109-L109</f>
        <v>19.53125</v>
      </c>
    </row>
    <row r="111" spans="1:14" x14ac:dyDescent="0.55000000000000004">
      <c r="I111" t="s">
        <v>28</v>
      </c>
    </row>
    <row r="112" spans="1:14" x14ac:dyDescent="0.55000000000000004">
      <c r="I112">
        <v>40</v>
      </c>
    </row>
    <row r="114" spans="1:14" x14ac:dyDescent="0.55000000000000004">
      <c r="A114" s="4" t="s">
        <v>41</v>
      </c>
      <c r="B114" s="4" t="s">
        <v>29</v>
      </c>
      <c r="C114" s="4" t="s">
        <v>39</v>
      </c>
      <c r="D114" s="4"/>
      <c r="E114" s="4"/>
      <c r="F114" s="4"/>
      <c r="G114" s="4"/>
      <c r="H114" s="4"/>
      <c r="I114">
        <v>80</v>
      </c>
    </row>
    <row r="115" spans="1:14" x14ac:dyDescent="0.55000000000000004">
      <c r="A115" t="s">
        <v>4</v>
      </c>
      <c r="B115" t="s">
        <v>5</v>
      </c>
      <c r="C115" t="s">
        <v>6</v>
      </c>
      <c r="D115" t="s">
        <v>7</v>
      </c>
      <c r="E115" t="s">
        <v>8</v>
      </c>
      <c r="F115" t="s">
        <v>9</v>
      </c>
      <c r="G115" t="s">
        <v>10</v>
      </c>
      <c r="I115" t="s">
        <v>18</v>
      </c>
      <c r="J115" t="s">
        <v>19</v>
      </c>
      <c r="K115" t="s">
        <v>20</v>
      </c>
      <c r="L115" t="s">
        <v>21</v>
      </c>
      <c r="N115" s="7" t="s">
        <v>22</v>
      </c>
    </row>
    <row r="116" spans="1:14" x14ac:dyDescent="0.55000000000000004">
      <c r="A116">
        <v>1</v>
      </c>
      <c r="B116">
        <v>57</v>
      </c>
      <c r="C116">
        <f t="shared" ref="C116:C120" si="59">B116/64</f>
        <v>0.890625</v>
      </c>
      <c r="D116">
        <f t="shared" ref="D116:D120" si="60">C116/2</f>
        <v>0.4453125</v>
      </c>
      <c r="E116">
        <v>40</v>
      </c>
      <c r="F116">
        <v>0</v>
      </c>
      <c r="G116">
        <f>E116+(F116/32)-D117+D116</f>
        <v>40</v>
      </c>
      <c r="I116">
        <v>0</v>
      </c>
      <c r="J116">
        <f>AVERAGE(G116:G120)</f>
        <v>40.0078125</v>
      </c>
      <c r="K116">
        <f>I123*COUNT(G116:G119)</f>
        <v>160</v>
      </c>
      <c r="L116">
        <f>J116*COUNT(G116:G119)</f>
        <v>160.03125</v>
      </c>
      <c r="N116" s="7">
        <f>K116-L116</f>
        <v>-3.125E-2</v>
      </c>
    </row>
    <row r="117" spans="1:14" x14ac:dyDescent="0.55000000000000004">
      <c r="A117">
        <f>1+A116</f>
        <v>2</v>
      </c>
      <c r="B117">
        <v>57</v>
      </c>
      <c r="C117">
        <f t="shared" si="59"/>
        <v>0.890625</v>
      </c>
      <c r="D117">
        <f t="shared" si="60"/>
        <v>0.4453125</v>
      </c>
      <c r="E117">
        <v>39</v>
      </c>
      <c r="F117">
        <v>31</v>
      </c>
      <c r="G117">
        <f t="shared" ref="G117:G119" si="61">E117+(F117/32)-D118+D117</f>
        <v>39.9609375</v>
      </c>
    </row>
    <row r="118" spans="1:14" x14ac:dyDescent="0.55000000000000004">
      <c r="A118">
        <f t="shared" ref="A118:A120" si="62">1+A117</f>
        <v>3</v>
      </c>
      <c r="B118">
        <v>58</v>
      </c>
      <c r="C118">
        <f t="shared" si="59"/>
        <v>0.90625</v>
      </c>
      <c r="D118">
        <f t="shared" si="60"/>
        <v>0.453125</v>
      </c>
      <c r="E118">
        <v>40</v>
      </c>
      <c r="F118">
        <v>1</v>
      </c>
      <c r="G118">
        <f t="shared" si="61"/>
        <v>40.0390625</v>
      </c>
      <c r="I118" s="4" t="s">
        <v>23</v>
      </c>
    </row>
    <row r="119" spans="1:14" x14ac:dyDescent="0.55000000000000004">
      <c r="A119">
        <f t="shared" si="62"/>
        <v>4</v>
      </c>
      <c r="B119">
        <v>57</v>
      </c>
      <c r="C119">
        <f t="shared" si="59"/>
        <v>0.890625</v>
      </c>
      <c r="D119">
        <f t="shared" si="60"/>
        <v>0.4453125</v>
      </c>
      <c r="E119">
        <v>40</v>
      </c>
      <c r="F119">
        <v>1</v>
      </c>
      <c r="G119">
        <f t="shared" si="61"/>
        <v>40.03125</v>
      </c>
      <c r="I119" t="s">
        <v>24</v>
      </c>
      <c r="J119" t="s">
        <v>25</v>
      </c>
      <c r="K119" t="s">
        <v>26</v>
      </c>
      <c r="L119" t="s">
        <v>27</v>
      </c>
      <c r="N119" s="7" t="s">
        <v>22</v>
      </c>
    </row>
    <row r="120" spans="1:14" x14ac:dyDescent="0.55000000000000004">
      <c r="A120">
        <f t="shared" si="62"/>
        <v>5</v>
      </c>
      <c r="B120">
        <v>57</v>
      </c>
      <c r="C120">
        <f t="shared" si="59"/>
        <v>0.890625</v>
      </c>
      <c r="D120">
        <f t="shared" si="60"/>
        <v>0.4453125</v>
      </c>
      <c r="I120">
        <v>80</v>
      </c>
      <c r="J120">
        <f>AVERAGE(G116:G121)</f>
        <v>40.0078125</v>
      </c>
      <c r="K120">
        <f>I120*I123</f>
        <v>3200</v>
      </c>
      <c r="L120">
        <f>I120*J120</f>
        <v>3200.625</v>
      </c>
      <c r="N120" s="7">
        <f>K120-L120</f>
        <v>-0.625</v>
      </c>
    </row>
    <row r="122" spans="1:14" x14ac:dyDescent="0.55000000000000004">
      <c r="I122" t="s">
        <v>28</v>
      </c>
    </row>
    <row r="123" spans="1:14" x14ac:dyDescent="0.55000000000000004">
      <c r="I123">
        <v>40</v>
      </c>
    </row>
    <row r="125" spans="1:14" x14ac:dyDescent="0.55000000000000004">
      <c r="C125" t="s">
        <v>43</v>
      </c>
    </row>
    <row r="126" spans="1:14" x14ac:dyDescent="0.55000000000000004">
      <c r="B126" t="s">
        <v>42</v>
      </c>
      <c r="C126" s="8">
        <v>8611</v>
      </c>
    </row>
    <row r="127" spans="1:14" x14ac:dyDescent="0.55000000000000004">
      <c r="A127" t="s">
        <v>45</v>
      </c>
      <c r="B127" t="s">
        <v>44</v>
      </c>
      <c r="C127">
        <v>8111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2025-05-16T19:36:24Z</dcterms:created>
  <dcterms:modified xsi:type="dcterms:W3CDTF">2025-06-16T15:41:35Z</dcterms:modified>
</cp:coreProperties>
</file>