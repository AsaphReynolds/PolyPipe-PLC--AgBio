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 - Mississippi State University\Documents\PolyPipe\Polypipe_program\row_spacing\"/>
    </mc:Choice>
  </mc:AlternateContent>
  <xr:revisionPtr revIDLastSave="1" documentId="8_{E97EC95C-1D4D-4270-A997-193D3EFA659D}" xr6:coauthVersionLast="36" xr6:coauthVersionMax="36" xr10:uidLastSave="{C5D966BA-BFFF-4884-9DDC-1164AE1F784B}"/>
  <bookViews>
    <workbookView xWindow="0" yWindow="0" windowWidth="23040" windowHeight="8778" xr2:uid="{C8727C95-0519-4618-9E07-4F4C147EE7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1" l="1"/>
  <c r="I3" i="1" l="1"/>
  <c r="J3" i="1" s="1"/>
  <c r="I4" i="1"/>
  <c r="J4" i="1" s="1"/>
  <c r="I5" i="1"/>
  <c r="J5" i="1" s="1"/>
  <c r="I2" i="1"/>
  <c r="J2" i="1" s="1"/>
  <c r="G34" i="1"/>
  <c r="G25" i="1"/>
  <c r="G26" i="1"/>
  <c r="G27" i="1"/>
  <c r="G28" i="1"/>
  <c r="G24" i="1"/>
  <c r="A38" i="1"/>
  <c r="C38" i="1"/>
  <c r="D38" i="1" s="1"/>
  <c r="A29" i="1"/>
  <c r="C29" i="1"/>
  <c r="D29" i="1" s="1"/>
  <c r="C20" i="1"/>
  <c r="D20" i="1" s="1"/>
  <c r="G19" i="1"/>
  <c r="C37" i="1"/>
  <c r="D37" i="1" s="1"/>
  <c r="G37" i="1" s="1"/>
  <c r="C36" i="1"/>
  <c r="D36" i="1" s="1"/>
  <c r="C35" i="1"/>
  <c r="D35" i="1" s="1"/>
  <c r="C34" i="1"/>
  <c r="D34" i="1" s="1"/>
  <c r="A34" i="1"/>
  <c r="A35" i="1" s="1"/>
  <c r="A36" i="1" s="1"/>
  <c r="A37" i="1" s="1"/>
  <c r="C33" i="1"/>
  <c r="D33" i="1" s="1"/>
  <c r="G33" i="1" s="1"/>
  <c r="C28" i="1"/>
  <c r="D28" i="1" s="1"/>
  <c r="C27" i="1"/>
  <c r="D27" i="1" s="1"/>
  <c r="C26" i="1"/>
  <c r="D26" i="1" s="1"/>
  <c r="C25" i="1"/>
  <c r="D25" i="1" s="1"/>
  <c r="A25" i="1"/>
  <c r="A26" i="1" s="1"/>
  <c r="A27" i="1" s="1"/>
  <c r="A28" i="1" s="1"/>
  <c r="C24" i="1"/>
  <c r="D24" i="1" s="1"/>
  <c r="C19" i="1"/>
  <c r="D19" i="1" s="1"/>
  <c r="C18" i="1"/>
  <c r="D18" i="1" s="1"/>
  <c r="C17" i="1"/>
  <c r="D17" i="1" s="1"/>
  <c r="C16" i="1"/>
  <c r="D16" i="1" s="1"/>
  <c r="A16" i="1"/>
  <c r="A17" i="1" s="1"/>
  <c r="A18" i="1" s="1"/>
  <c r="A19" i="1" s="1"/>
  <c r="A20" i="1" s="1"/>
  <c r="C15" i="1"/>
  <c r="D15" i="1" s="1"/>
  <c r="C11" i="1"/>
  <c r="D11" i="1" s="1"/>
  <c r="C10" i="1"/>
  <c r="D10" i="1" s="1"/>
  <c r="C9" i="1"/>
  <c r="D9" i="1" s="1"/>
  <c r="C8" i="1"/>
  <c r="D8" i="1" s="1"/>
  <c r="A8" i="1"/>
  <c r="A9" i="1" s="1"/>
  <c r="A10" i="1" s="1"/>
  <c r="A11" i="1" s="1"/>
  <c r="C7" i="1"/>
  <c r="D7" i="1" s="1"/>
  <c r="G36" i="1" l="1"/>
  <c r="G35" i="1"/>
  <c r="G15" i="1"/>
  <c r="G17" i="1"/>
  <c r="G16" i="1"/>
  <c r="G18" i="1"/>
  <c r="G10" i="1"/>
  <c r="G9" i="1"/>
  <c r="G8" i="1"/>
  <c r="G7" i="1"/>
  <c r="A2" i="1" l="1"/>
  <c r="B2" i="1" s="1"/>
</calcChain>
</file>

<file path=xl/sharedStrings.xml><?xml version="1.0" encoding="utf-8"?>
<sst xmlns="http://schemas.openxmlformats.org/spreadsheetml/2006/main" count="40" uniqueCount="16">
  <si>
    <t>Circumference (in)</t>
  </si>
  <si>
    <t>Degrees per Inch (360°/Circumference)</t>
  </si>
  <si>
    <t>radius</t>
  </si>
  <si>
    <t>For radius 1.8</t>
  </si>
  <si>
    <t>row</t>
  </si>
  <si>
    <t>value</t>
  </si>
  <si>
    <t>hole_d</t>
  </si>
  <si>
    <t>hole_r</t>
  </si>
  <si>
    <t>s_v_in</t>
  </si>
  <si>
    <t>s_v_sub_in</t>
  </si>
  <si>
    <t>spacing</t>
  </si>
  <si>
    <t>For radius 2.2</t>
  </si>
  <si>
    <t>For radius 1.9</t>
  </si>
  <si>
    <t>For radius 2.0</t>
  </si>
  <si>
    <t>Desired Degrees</t>
  </si>
  <si>
    <t>linear equation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</si>
</sst>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  <xf numFmtId="16" fontId="0" fillId="0" borderId="0" xfId="0" applyNumberFormat="1"/>
    <xf numFmtId="16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23C9-32C8-4BFA-8A4B-2314F37BAC5C}">
  <dimension ref="A1:K38"/>
  <sheetViews>
    <sheetView tabSelected="1" workbookViewId="0">
      <selection activeCell="M8" sqref="M8"/>
    </sheetView>
  </sheetViews>
  <sheetFormatPr defaultRowHeight="14.4" x14ac:dyDescent="0.55000000000000004"/>
  <cols>
    <col min="1" max="1" width="16" customWidth="1"/>
    <col min="2" max="2" width="16.7890625" customWidth="1"/>
    <col min="3" max="3" width="14.7890625" customWidth="1"/>
    <col min="4" max="4" width="17.26171875" customWidth="1"/>
    <col min="5" max="5" width="15.9453125" customWidth="1"/>
    <col min="6" max="6" width="10.62890625" bestFit="1" customWidth="1"/>
    <col min="9" max="9" width="16.62890625" customWidth="1"/>
    <col min="10" max="10" width="22.20703125" customWidth="1"/>
  </cols>
  <sheetData>
    <row r="1" spans="1:11" s="2" customFormat="1" ht="43.2" x14ac:dyDescent="0.55000000000000004">
      <c r="A1" s="2" t="s">
        <v>0</v>
      </c>
      <c r="B1" s="2" t="s">
        <v>1</v>
      </c>
      <c r="C1" s="2" t="s">
        <v>2</v>
      </c>
      <c r="I1" s="2" t="s">
        <v>0</v>
      </c>
      <c r="J1" s="2" t="s">
        <v>1</v>
      </c>
      <c r="K1" s="2" t="s">
        <v>2</v>
      </c>
    </row>
    <row r="2" spans="1:11" x14ac:dyDescent="0.55000000000000004">
      <c r="A2" s="2">
        <f>2*PI()*C2</f>
        <v>11.938052083641214</v>
      </c>
      <c r="B2" s="3">
        <f>360/A2</f>
        <v>30.155673427938066</v>
      </c>
      <c r="C2">
        <v>1.9</v>
      </c>
      <c r="I2" s="2">
        <f>2*PI()*K2</f>
        <v>11.309733552923255</v>
      </c>
      <c r="J2" s="3">
        <f>360/I2</f>
        <v>31.830988618379067</v>
      </c>
      <c r="K2">
        <v>1.8</v>
      </c>
    </row>
    <row r="3" spans="1:11" x14ac:dyDescent="0.55000000000000004">
      <c r="I3" s="2">
        <f t="shared" ref="I3:I5" si="0">2*PI()*K3</f>
        <v>11.938052083641214</v>
      </c>
      <c r="J3" s="3">
        <f t="shared" ref="J3:J5" si="1">360/I3</f>
        <v>30.155673427938066</v>
      </c>
      <c r="K3">
        <v>1.9</v>
      </c>
    </row>
    <row r="4" spans="1:11" x14ac:dyDescent="0.55000000000000004">
      <c r="I4" s="2">
        <f t="shared" si="0"/>
        <v>12.566370614359172</v>
      </c>
      <c r="J4" s="3">
        <f t="shared" si="1"/>
        <v>28.647889756541161</v>
      </c>
      <c r="K4">
        <v>2</v>
      </c>
    </row>
    <row r="5" spans="1:11" s="4" customFormat="1" x14ac:dyDescent="0.55000000000000004">
      <c r="A5" s="4" t="s">
        <v>3</v>
      </c>
      <c r="I5" s="2">
        <f t="shared" si="0"/>
        <v>13.823007675795091</v>
      </c>
      <c r="J5" s="3">
        <f t="shared" si="1"/>
        <v>26.043536142310142</v>
      </c>
      <c r="K5">
        <v>2.2000000000000002</v>
      </c>
    </row>
    <row r="6" spans="1:11" x14ac:dyDescent="0.55000000000000004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</row>
    <row r="7" spans="1:11" x14ac:dyDescent="0.55000000000000004">
      <c r="A7">
        <v>1</v>
      </c>
      <c r="B7">
        <v>35</v>
      </c>
      <c r="C7">
        <f t="shared" ref="C7:C11" si="2">B7/64</f>
        <v>0.546875</v>
      </c>
      <c r="D7">
        <f t="shared" ref="D7:D11" si="3">C7/2</f>
        <v>0.2734375</v>
      </c>
      <c r="E7">
        <v>27</v>
      </c>
      <c r="F7">
        <v>5</v>
      </c>
      <c r="G7">
        <f>E7+(F7/32)-D7+D8</f>
        <v>27.3203125</v>
      </c>
      <c r="I7" t="s">
        <v>14</v>
      </c>
      <c r="J7" s="5" t="s">
        <v>15</v>
      </c>
    </row>
    <row r="8" spans="1:11" x14ac:dyDescent="0.55000000000000004">
      <c r="A8">
        <f>1+A7</f>
        <v>2</v>
      </c>
      <c r="B8">
        <v>56</v>
      </c>
      <c r="C8">
        <f t="shared" si="2"/>
        <v>0.875</v>
      </c>
      <c r="D8">
        <f t="shared" si="3"/>
        <v>0.4375</v>
      </c>
      <c r="E8">
        <v>27</v>
      </c>
      <c r="F8">
        <v>2</v>
      </c>
      <c r="G8">
        <f>E8+(F8/32)-D8+D9</f>
        <v>27.0546875</v>
      </c>
      <c r="H8" s="1"/>
      <c r="I8">
        <v>25</v>
      </c>
      <c r="J8" s="6">
        <f xml:space="preserve"> 1.0694*I8 + 2.5594</f>
        <v>29.2944</v>
      </c>
      <c r="K8" s="1"/>
    </row>
    <row r="9" spans="1:11" x14ac:dyDescent="0.55000000000000004">
      <c r="A9">
        <f t="shared" ref="A9:A20" si="4">1+A8</f>
        <v>3</v>
      </c>
      <c r="B9">
        <v>55</v>
      </c>
      <c r="C9">
        <f t="shared" si="2"/>
        <v>0.859375</v>
      </c>
      <c r="D9">
        <f t="shared" si="3"/>
        <v>0.4296875</v>
      </c>
      <c r="E9">
        <v>27</v>
      </c>
      <c r="F9">
        <v>24</v>
      </c>
      <c r="G9">
        <f t="shared" ref="G9:G10" si="5">E9+(F9/32)-D9+D10</f>
        <v>27.7578125</v>
      </c>
      <c r="H9" s="2"/>
      <c r="I9" s="2"/>
      <c r="J9" s="2"/>
      <c r="K9" s="2"/>
    </row>
    <row r="10" spans="1:11" x14ac:dyDescent="0.55000000000000004">
      <c r="A10">
        <f t="shared" si="4"/>
        <v>4</v>
      </c>
      <c r="B10">
        <v>56</v>
      </c>
      <c r="C10">
        <f t="shared" si="2"/>
        <v>0.875</v>
      </c>
      <c r="D10">
        <f t="shared" si="3"/>
        <v>0.4375</v>
      </c>
      <c r="E10">
        <v>27</v>
      </c>
      <c r="F10">
        <v>15</v>
      </c>
      <c r="G10">
        <f t="shared" si="5"/>
        <v>27.46875</v>
      </c>
      <c r="H10" s="2"/>
      <c r="I10" s="3"/>
      <c r="J10" s="3"/>
      <c r="K10" s="3"/>
    </row>
    <row r="11" spans="1:11" x14ac:dyDescent="0.55000000000000004">
      <c r="A11">
        <f t="shared" si="4"/>
        <v>5</v>
      </c>
      <c r="B11">
        <v>56</v>
      </c>
      <c r="C11">
        <f t="shared" si="2"/>
        <v>0.875</v>
      </c>
      <c r="D11">
        <f t="shared" si="3"/>
        <v>0.4375</v>
      </c>
    </row>
    <row r="13" spans="1:11" x14ac:dyDescent="0.55000000000000004">
      <c r="A13" s="4" t="s">
        <v>12</v>
      </c>
      <c r="B13" s="4"/>
      <c r="C13" s="4"/>
      <c r="D13" s="4"/>
      <c r="E13" s="4"/>
      <c r="F13" s="4"/>
      <c r="G13" s="4"/>
    </row>
    <row r="14" spans="1:11" x14ac:dyDescent="0.55000000000000004">
      <c r="A14" t="s">
        <v>4</v>
      </c>
      <c r="B14" t="s">
        <v>5</v>
      </c>
      <c r="C14" t="s">
        <v>6</v>
      </c>
      <c r="D14" t="s">
        <v>7</v>
      </c>
      <c r="E14" t="s">
        <v>8</v>
      </c>
      <c r="F14" t="s">
        <v>9</v>
      </c>
      <c r="G14" t="s">
        <v>10</v>
      </c>
    </row>
    <row r="15" spans="1:11" x14ac:dyDescent="0.55000000000000004">
      <c r="A15">
        <v>1</v>
      </c>
      <c r="B15">
        <v>27</v>
      </c>
      <c r="C15">
        <f t="shared" ref="C15:C19" si="6">B15/64</f>
        <v>0.421875</v>
      </c>
      <c r="D15">
        <f t="shared" ref="D15:D19" si="7">C15/2</f>
        <v>0.2109375</v>
      </c>
      <c r="E15">
        <v>25</v>
      </c>
      <c r="F15">
        <v>28</v>
      </c>
      <c r="G15">
        <f>E15+(F15/32)-D16+D15</f>
        <v>25.6484375</v>
      </c>
    </row>
    <row r="16" spans="1:11" x14ac:dyDescent="0.55000000000000004">
      <c r="A16">
        <f>1+A15</f>
        <v>2</v>
      </c>
      <c r="B16">
        <v>56</v>
      </c>
      <c r="C16">
        <f t="shared" si="6"/>
        <v>0.875</v>
      </c>
      <c r="D16">
        <f t="shared" si="7"/>
        <v>0.4375</v>
      </c>
      <c r="E16">
        <v>25</v>
      </c>
      <c r="F16">
        <v>24</v>
      </c>
      <c r="G16">
        <f>E16+(F16/32)-D17+D16</f>
        <v>25.75</v>
      </c>
    </row>
    <row r="17" spans="1:7" x14ac:dyDescent="0.55000000000000004">
      <c r="A17">
        <f t="shared" si="4"/>
        <v>3</v>
      </c>
      <c r="B17">
        <v>56</v>
      </c>
      <c r="C17">
        <f t="shared" si="6"/>
        <v>0.875</v>
      </c>
      <c r="D17">
        <f t="shared" si="7"/>
        <v>0.4375</v>
      </c>
      <c r="E17">
        <v>25</v>
      </c>
      <c r="F17">
        <v>23</v>
      </c>
      <c r="G17">
        <f t="shared" ref="G17:G18" si="8">E17+(F17/32)-D18+D17</f>
        <v>25.71875</v>
      </c>
    </row>
    <row r="18" spans="1:7" x14ac:dyDescent="0.55000000000000004">
      <c r="A18">
        <f t="shared" si="4"/>
        <v>4</v>
      </c>
      <c r="B18">
        <v>56</v>
      </c>
      <c r="C18">
        <f t="shared" si="6"/>
        <v>0.875</v>
      </c>
      <c r="D18">
        <f t="shared" si="7"/>
        <v>0.4375</v>
      </c>
      <c r="E18">
        <v>25</v>
      </c>
      <c r="F18">
        <v>23</v>
      </c>
      <c r="G18">
        <f t="shared" si="8"/>
        <v>25.71875</v>
      </c>
    </row>
    <row r="19" spans="1:7" x14ac:dyDescent="0.55000000000000004">
      <c r="A19">
        <f t="shared" si="4"/>
        <v>5</v>
      </c>
      <c r="B19">
        <v>56</v>
      </c>
      <c r="C19">
        <f t="shared" si="6"/>
        <v>0.875</v>
      </c>
      <c r="D19">
        <f t="shared" si="7"/>
        <v>0.4375</v>
      </c>
      <c r="E19">
        <v>25</v>
      </c>
      <c r="F19">
        <v>23</v>
      </c>
      <c r="G19">
        <f>E19+(F19/32)-D21+D19</f>
        <v>26.15625</v>
      </c>
    </row>
    <row r="20" spans="1:7" x14ac:dyDescent="0.55000000000000004">
      <c r="A20">
        <f t="shared" si="4"/>
        <v>6</v>
      </c>
      <c r="B20">
        <v>56</v>
      </c>
      <c r="C20">
        <f t="shared" ref="C20" si="9">B20/64</f>
        <v>0.875</v>
      </c>
      <c r="D20">
        <f t="shared" ref="D20" si="10">C20/2</f>
        <v>0.4375</v>
      </c>
    </row>
    <row r="22" spans="1:7" x14ac:dyDescent="0.55000000000000004">
      <c r="A22" s="4" t="s">
        <v>13</v>
      </c>
      <c r="B22" s="4"/>
      <c r="C22" s="4"/>
      <c r="D22" s="4"/>
      <c r="E22" s="4"/>
      <c r="F22" s="4"/>
      <c r="G22" s="4"/>
    </row>
    <row r="23" spans="1:7" x14ac:dyDescent="0.55000000000000004">
      <c r="A23" t="s">
        <v>4</v>
      </c>
      <c r="B23" t="s">
        <v>5</v>
      </c>
      <c r="C23" t="s">
        <v>6</v>
      </c>
      <c r="D23" t="s">
        <v>7</v>
      </c>
      <c r="E23" t="s">
        <v>8</v>
      </c>
      <c r="F23" t="s">
        <v>9</v>
      </c>
      <c r="G23" t="s">
        <v>10</v>
      </c>
    </row>
    <row r="24" spans="1:7" x14ac:dyDescent="0.55000000000000004">
      <c r="A24">
        <v>1</v>
      </c>
      <c r="B24">
        <v>56</v>
      </c>
      <c r="C24">
        <f t="shared" ref="C24:C28" si="11">B24/64</f>
        <v>0.875</v>
      </c>
      <c r="D24">
        <f t="shared" ref="D24:D28" si="12">C24/2</f>
        <v>0.4375</v>
      </c>
      <c r="E24">
        <v>24</v>
      </c>
      <c r="F24">
        <v>7</v>
      </c>
      <c r="G24">
        <f>E24+(F24/32)-D25+D24</f>
        <v>24.2265625</v>
      </c>
    </row>
    <row r="25" spans="1:7" x14ac:dyDescent="0.55000000000000004">
      <c r="A25">
        <f>1+A24</f>
        <v>2</v>
      </c>
      <c r="B25">
        <v>55</v>
      </c>
      <c r="C25">
        <f t="shared" si="11"/>
        <v>0.859375</v>
      </c>
      <c r="D25">
        <f t="shared" si="12"/>
        <v>0.4296875</v>
      </c>
      <c r="E25">
        <v>24</v>
      </c>
      <c r="F25">
        <v>10</v>
      </c>
      <c r="G25">
        <f t="shared" ref="G25:G28" si="13">E25+(F25/32)-D26+D25</f>
        <v>24.3046875</v>
      </c>
    </row>
    <row r="26" spans="1:7" x14ac:dyDescent="0.55000000000000004">
      <c r="A26">
        <f t="shared" ref="A26:A29" si="14">1+A25</f>
        <v>3</v>
      </c>
      <c r="B26">
        <v>56</v>
      </c>
      <c r="C26">
        <f t="shared" si="11"/>
        <v>0.875</v>
      </c>
      <c r="D26">
        <f t="shared" si="12"/>
        <v>0.4375</v>
      </c>
      <c r="E26">
        <v>24</v>
      </c>
      <c r="F26">
        <v>12</v>
      </c>
      <c r="G26">
        <f t="shared" si="13"/>
        <v>24.375</v>
      </c>
    </row>
    <row r="27" spans="1:7" x14ac:dyDescent="0.55000000000000004">
      <c r="A27">
        <f t="shared" si="14"/>
        <v>4</v>
      </c>
      <c r="B27">
        <v>56</v>
      </c>
      <c r="C27">
        <f t="shared" si="11"/>
        <v>0.875</v>
      </c>
      <c r="D27">
        <f t="shared" si="12"/>
        <v>0.4375</v>
      </c>
      <c r="E27">
        <v>24</v>
      </c>
      <c r="F27">
        <v>11</v>
      </c>
      <c r="G27">
        <f t="shared" si="13"/>
        <v>24.34375</v>
      </c>
    </row>
    <row r="28" spans="1:7" x14ac:dyDescent="0.55000000000000004">
      <c r="A28">
        <f t="shared" si="14"/>
        <v>5</v>
      </c>
      <c r="B28">
        <v>56</v>
      </c>
      <c r="C28">
        <f t="shared" si="11"/>
        <v>0.875</v>
      </c>
      <c r="D28">
        <f t="shared" si="12"/>
        <v>0.4375</v>
      </c>
      <c r="E28">
        <v>24</v>
      </c>
      <c r="F28">
        <v>11</v>
      </c>
      <c r="G28">
        <f t="shared" si="13"/>
        <v>24.3515625</v>
      </c>
    </row>
    <row r="29" spans="1:7" x14ac:dyDescent="0.55000000000000004">
      <c r="A29">
        <f t="shared" si="14"/>
        <v>6</v>
      </c>
      <c r="B29">
        <v>55</v>
      </c>
      <c r="C29">
        <f t="shared" ref="C29" si="15">B29/64</f>
        <v>0.859375</v>
      </c>
      <c r="D29">
        <f t="shared" ref="D29" si="16">C29/2</f>
        <v>0.4296875</v>
      </c>
    </row>
    <row r="31" spans="1:7" x14ac:dyDescent="0.55000000000000004">
      <c r="A31" s="4" t="s">
        <v>11</v>
      </c>
      <c r="B31" s="4"/>
      <c r="C31" s="4"/>
      <c r="D31" s="4"/>
      <c r="E31" s="4"/>
      <c r="F31" s="4"/>
      <c r="G31" s="4"/>
    </row>
    <row r="32" spans="1:7" x14ac:dyDescent="0.55000000000000004">
      <c r="A32" t="s">
        <v>4</v>
      </c>
      <c r="B32" t="s">
        <v>5</v>
      </c>
      <c r="C32" t="s">
        <v>6</v>
      </c>
      <c r="D32" t="s">
        <v>7</v>
      </c>
      <c r="E32" t="s">
        <v>8</v>
      </c>
      <c r="F32" t="s">
        <v>9</v>
      </c>
      <c r="G32" t="s">
        <v>10</v>
      </c>
    </row>
    <row r="33" spans="1:7" x14ac:dyDescent="0.55000000000000004">
      <c r="A33">
        <v>1</v>
      </c>
      <c r="B33">
        <v>55</v>
      </c>
      <c r="C33">
        <f t="shared" ref="C33:C37" si="17">B33/64</f>
        <v>0.859375</v>
      </c>
      <c r="D33">
        <f t="shared" ref="D33:D37" si="18">C33/2</f>
        <v>0.4296875</v>
      </c>
      <c r="E33">
        <v>22</v>
      </c>
      <c r="F33">
        <v>2</v>
      </c>
      <c r="G33">
        <f>E33+(F33/32)-D34+D33</f>
        <v>22.0546875</v>
      </c>
    </row>
    <row r="34" spans="1:7" x14ac:dyDescent="0.55000000000000004">
      <c r="A34">
        <f>1+A33</f>
        <v>2</v>
      </c>
      <c r="B34">
        <v>56</v>
      </c>
      <c r="C34">
        <f t="shared" si="17"/>
        <v>0.875</v>
      </c>
      <c r="D34">
        <f t="shared" si="18"/>
        <v>0.4375</v>
      </c>
      <c r="E34">
        <v>22</v>
      </c>
      <c r="F34">
        <v>0</v>
      </c>
      <c r="G34">
        <f>E34+(F34/32)-D35+D34</f>
        <v>22</v>
      </c>
    </row>
    <row r="35" spans="1:7" x14ac:dyDescent="0.55000000000000004">
      <c r="A35">
        <f t="shared" ref="A35:A38" si="19">1+A34</f>
        <v>3</v>
      </c>
      <c r="B35">
        <v>56</v>
      </c>
      <c r="C35">
        <f t="shared" si="17"/>
        <v>0.875</v>
      </c>
      <c r="D35">
        <f t="shared" si="18"/>
        <v>0.4375</v>
      </c>
      <c r="E35">
        <v>22</v>
      </c>
      <c r="F35">
        <v>1</v>
      </c>
      <c r="G35">
        <f t="shared" ref="G35:G37" si="20">E35+(F35/32)-D36+D35</f>
        <v>22.03125</v>
      </c>
    </row>
    <row r="36" spans="1:7" x14ac:dyDescent="0.55000000000000004">
      <c r="A36">
        <f t="shared" si="19"/>
        <v>4</v>
      </c>
      <c r="B36">
        <v>56</v>
      </c>
      <c r="C36">
        <f t="shared" si="17"/>
        <v>0.875</v>
      </c>
      <c r="D36">
        <f t="shared" si="18"/>
        <v>0.4375</v>
      </c>
      <c r="E36">
        <v>22</v>
      </c>
      <c r="F36">
        <v>1</v>
      </c>
      <c r="G36">
        <f t="shared" si="20"/>
        <v>22.0390625</v>
      </c>
    </row>
    <row r="37" spans="1:7" x14ac:dyDescent="0.55000000000000004">
      <c r="A37">
        <f t="shared" si="19"/>
        <v>5</v>
      </c>
      <c r="B37">
        <v>55</v>
      </c>
      <c r="C37">
        <f t="shared" si="17"/>
        <v>0.859375</v>
      </c>
      <c r="D37">
        <f t="shared" si="18"/>
        <v>0.4296875</v>
      </c>
      <c r="E37">
        <v>22</v>
      </c>
      <c r="F37">
        <v>0</v>
      </c>
      <c r="G37">
        <f t="shared" si="20"/>
        <v>21.9921875</v>
      </c>
    </row>
    <row r="38" spans="1:7" x14ac:dyDescent="0.55000000000000004">
      <c r="A38">
        <f t="shared" si="19"/>
        <v>6</v>
      </c>
      <c r="B38">
        <v>56</v>
      </c>
      <c r="C38">
        <f t="shared" ref="C38" si="21">B38/64</f>
        <v>0.875</v>
      </c>
      <c r="D38">
        <f t="shared" ref="D38" si="22">C38/2</f>
        <v>0.4375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BCOE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2025-05-16T19:36:24Z</dcterms:created>
  <dcterms:modified xsi:type="dcterms:W3CDTF">2025-05-19T14:22:50Z</dcterms:modified>
</cp:coreProperties>
</file>