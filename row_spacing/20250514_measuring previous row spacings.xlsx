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Mississippi State University\Documents\PolyPipe\Polypipe_program\row_spacing\"/>
    </mc:Choice>
  </mc:AlternateContent>
  <xr:revisionPtr revIDLastSave="21" documentId="8_{4A31BCEA-EC8B-46F6-A790-EE63A00EB2CA}" xr6:coauthVersionLast="36" xr6:coauthVersionMax="36" xr10:uidLastSave="{8D162CBC-F765-490C-B6D7-ED6C5E377E65}"/>
  <bookViews>
    <workbookView xWindow="0" yWindow="0" windowWidth="23040" windowHeight="8778" xr2:uid="{8B671BC0-E31C-466B-896C-0428B993CC38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C21" i="1"/>
  <c r="D21" i="1" s="1"/>
  <c r="C22" i="1"/>
  <c r="D22" i="1"/>
  <c r="C23" i="1"/>
  <c r="D23" i="1" s="1"/>
  <c r="C24" i="1"/>
  <c r="D24" i="1" s="1"/>
  <c r="C25" i="1"/>
  <c r="D25" i="1" s="1"/>
  <c r="C26" i="1"/>
  <c r="D26" i="1"/>
  <c r="C27" i="1"/>
  <c r="D27" i="1" s="1"/>
  <c r="G27" i="1" s="1"/>
  <c r="C28" i="1"/>
  <c r="D28" i="1" s="1"/>
  <c r="C29" i="1"/>
  <c r="D29" i="1"/>
  <c r="C30" i="1"/>
  <c r="D30" i="1"/>
  <c r="C31" i="1"/>
  <c r="D31" i="1" s="1"/>
  <c r="C32" i="1"/>
  <c r="D32" i="1" s="1"/>
  <c r="G32" i="1" s="1"/>
  <c r="C33" i="1"/>
  <c r="D33" i="1" s="1"/>
  <c r="C34" i="1"/>
  <c r="D34" i="1" s="1"/>
  <c r="C35" i="1"/>
  <c r="D35" i="1" s="1"/>
  <c r="G35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22" i="1"/>
  <c r="K7" i="1"/>
  <c r="G21" i="1" l="1"/>
  <c r="G26" i="1"/>
  <c r="G33" i="1"/>
  <c r="G25" i="1"/>
  <c r="G34" i="1"/>
  <c r="G28" i="1"/>
  <c r="G30" i="1"/>
  <c r="G29" i="1"/>
  <c r="G31" i="1"/>
  <c r="G24" i="1"/>
  <c r="G23" i="1"/>
  <c r="G22" i="1"/>
  <c r="J22" i="1" s="1"/>
  <c r="J26" i="1" s="1"/>
  <c r="L26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G17" i="1" s="1"/>
  <c r="C3" i="1"/>
  <c r="D3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4" i="1"/>
  <c r="L22" i="1" l="1"/>
  <c r="K22" i="1"/>
  <c r="G3" i="1"/>
  <c r="G4" i="1"/>
  <c r="G13" i="1"/>
  <c r="G16" i="1"/>
  <c r="G15" i="1"/>
  <c r="G14" i="1"/>
  <c r="G12" i="1"/>
  <c r="G11" i="1"/>
  <c r="G10" i="1"/>
  <c r="G9" i="1"/>
  <c r="G8" i="1"/>
  <c r="G7" i="1"/>
  <c r="G6" i="1"/>
  <c r="J3" i="1" s="1"/>
  <c r="J7" i="1" s="1"/>
  <c r="L7" i="1" s="1"/>
  <c r="G5" i="1"/>
  <c r="K3" i="1" l="1"/>
  <c r="L3" i="1"/>
</calcChain>
</file>

<file path=xl/sharedStrings.xml><?xml version="1.0" encoding="utf-8"?>
<sst xmlns="http://schemas.openxmlformats.org/spreadsheetml/2006/main" count="67" uniqueCount="35">
  <si>
    <t>row</t>
  </si>
  <si>
    <t>hole_d</t>
  </si>
  <si>
    <t>hole_r</t>
  </si>
  <si>
    <t>spacing</t>
  </si>
  <si>
    <t>value</t>
  </si>
  <si>
    <t>s_v_in</t>
  </si>
  <si>
    <t>s_v_sub_in</t>
  </si>
  <si>
    <t>initial</t>
  </si>
  <si>
    <t>average</t>
  </si>
  <si>
    <t>desired final</t>
  </si>
  <si>
    <t>actual final</t>
  </si>
  <si>
    <t>Extrapolation</t>
  </si>
  <si>
    <t>avg. value</t>
  </si>
  <si>
    <t>number rows</t>
  </si>
  <si>
    <t>desired final (in)</t>
  </si>
  <si>
    <t>actual final (in)</t>
  </si>
  <si>
    <t>Randomized Test 1</t>
  </si>
  <si>
    <t>Row index of each measurement; sequential identifier (1, 2, 3, …).</t>
  </si>
  <si>
    <r>
      <t xml:space="preserve">Raw measurement value taken from the ruler in </t>
    </r>
    <r>
      <rPr>
        <b/>
        <sz val="11"/>
        <color theme="1"/>
        <rFont val="Calibri"/>
        <family val="2"/>
        <scheme val="minor"/>
      </rPr>
      <t>1/64 inch increments</t>
    </r>
    <r>
      <rPr>
        <sz val="11"/>
        <color theme="1"/>
        <rFont val="Calibri"/>
        <family val="2"/>
        <scheme val="minor"/>
      </rPr>
      <t>.</t>
    </r>
  </si>
  <si>
    <r>
      <t xml:space="preserve">Diameter of the hole in inches. Computed as </t>
    </r>
    <r>
      <rPr>
        <sz val="10"/>
        <color theme="1"/>
        <rFont val="Arial Unicode MS"/>
        <family val="2"/>
      </rPr>
      <t>=value / 64</t>
    </r>
    <r>
      <rPr>
        <sz val="11"/>
        <color theme="1"/>
        <rFont val="Calibri"/>
        <family val="2"/>
        <scheme val="minor"/>
      </rPr>
      <t>.</t>
    </r>
  </si>
  <si>
    <t>Key</t>
  </si>
  <si>
    <r>
      <t xml:space="preserve">Radius of the hole, computed as </t>
    </r>
    <r>
      <rPr>
        <sz val="10"/>
        <color theme="1"/>
        <rFont val="Arial Unicode MS"/>
        <family val="2"/>
      </rPr>
      <t>=hole_d / 2</t>
    </r>
    <r>
      <rPr>
        <sz val="11"/>
        <color theme="1"/>
        <rFont val="Calibri"/>
        <family val="2"/>
        <scheme val="minor"/>
      </rPr>
      <t>. This gives the radius in inches.</t>
    </r>
  </si>
  <si>
    <t>Integer value representing the numerator of a 1/32 inch fraction (e.g., 4 → 4/32 = 0.125"). Allows you to record finer subdivisions of spacing.</t>
  </si>
  <si>
    <r>
      <t xml:space="preserve">Actual spacing between two holes, in inches. Formula: </t>
    </r>
    <r>
      <rPr>
        <sz val="10"/>
        <color theme="1"/>
        <rFont val="Arial Unicode MS"/>
        <family val="2"/>
      </rPr>
      <t>=s_v_in + (s_v_sub_in / 32) - hole_r_prev + hole_r_current</t>
    </r>
    <r>
      <rPr>
        <sz val="11"/>
        <color theme="1"/>
        <rFont val="Calibri"/>
        <family val="2"/>
        <scheme val="minor"/>
      </rPr>
      <t>. It accounts for radius correction.</t>
    </r>
  </si>
  <si>
    <r>
      <t xml:space="preserve">Average of the values in the </t>
    </r>
    <r>
      <rPr>
        <sz val="10"/>
        <color theme="1"/>
        <rFont val="Arial Unicode MS"/>
        <family val="2"/>
      </rPr>
      <t>spacing</t>
    </r>
    <r>
      <rPr>
        <sz val="11"/>
        <color theme="1"/>
        <rFont val="Calibri"/>
        <family val="2"/>
        <scheme val="minor"/>
      </rPr>
      <t xml:space="preserve"> column. Formula: </t>
    </r>
    <r>
      <rPr>
        <sz val="10"/>
        <color theme="1"/>
        <rFont val="Arial Unicode MS"/>
        <family val="2"/>
      </rPr>
      <t>=AVERAGE(spacing)</t>
    </r>
    <r>
      <rPr>
        <sz val="11"/>
        <color theme="1"/>
        <rFont val="Calibri"/>
        <family val="2"/>
        <scheme val="minor"/>
      </rPr>
      <t>.</t>
    </r>
  </si>
  <si>
    <r>
      <t xml:space="preserve">Target final length or location. Formula: </t>
    </r>
    <r>
      <rPr>
        <sz val="10"/>
        <color theme="1"/>
        <rFont val="Arial Unicode MS"/>
        <family val="2"/>
      </rPr>
      <t>=25 * COUNT(spacing)</t>
    </r>
    <r>
      <rPr>
        <sz val="11"/>
        <color theme="1"/>
        <rFont val="Calibri"/>
        <family val="2"/>
        <scheme val="minor"/>
      </rPr>
      <t xml:space="preserve"> for row-wise extrapolation. Represents desired total run length.</t>
    </r>
  </si>
  <si>
    <r>
      <t xml:space="preserve">Actual calculated final length based on total of the </t>
    </r>
    <r>
      <rPr>
        <sz val="10"/>
        <color theme="1"/>
        <rFont val="Arial Unicode MS"/>
        <family val="2"/>
      </rPr>
      <t>spacing</t>
    </r>
    <r>
      <rPr>
        <sz val="11"/>
        <color theme="1"/>
        <rFont val="Calibri"/>
        <family val="2"/>
        <scheme val="minor"/>
      </rPr>
      <t xml:space="preserve"> column. Formula: </t>
    </r>
    <r>
      <rPr>
        <sz val="10"/>
        <color theme="1"/>
        <rFont val="Arial Unicode MS"/>
        <family val="2"/>
      </rPr>
      <t>=SUM(spacing)</t>
    </r>
    <r>
      <rPr>
        <sz val="11"/>
        <color theme="1"/>
        <rFont val="Calibri"/>
        <family val="2"/>
        <scheme val="minor"/>
      </rPr>
      <t>.</t>
    </r>
  </si>
  <si>
    <t>Integer part of the spacing between holes, in inches. Manually input for spacing.</t>
  </si>
  <si>
    <t>extrapolated values</t>
  </si>
  <si>
    <t>The total number of hole rows you plan to use in your full system (e.g., 300). This is a user-defined value based on project length needs.</t>
  </si>
  <si>
    <r>
      <t xml:space="preserve">The average spacing between holes, calculated from the actual measured data in the </t>
    </r>
    <r>
      <rPr>
        <sz val="10"/>
        <color theme="1"/>
        <rFont val="Arial Unicode MS"/>
        <family val="2"/>
      </rPr>
      <t>spacing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</si>
  <si>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The target total length in inches, assuming a nominal spacing of </t>
    </r>
    <r>
      <rPr>
        <b/>
        <sz val="11"/>
        <color theme="1"/>
        <rFont val="Calibri"/>
        <family val="2"/>
        <scheme val="minor"/>
      </rPr>
      <t>25 in per row</t>
    </r>
    <r>
      <rPr>
        <sz val="11"/>
        <color theme="1"/>
        <rFont val="Calibri"/>
        <family val="2"/>
        <scheme val="minor"/>
      </rPr>
      <t xml:space="preserve">. Calculated as: </t>
    </r>
    <r>
      <rPr>
        <sz val="10"/>
        <color theme="1"/>
        <rFont val="Arial Unicode MS"/>
        <family val="2"/>
      </rPr>
      <t>25 × number of rows</t>
    </r>
    <r>
      <rPr>
        <sz val="11"/>
        <color theme="1"/>
        <rFont val="Calibri"/>
        <family val="2"/>
        <scheme val="minor"/>
      </rPr>
      <t>.</t>
    </r>
  </si>
  <si>
    <r>
      <t xml:space="preserve">The projected real total length in inches based on actual measurements. Calculated as: </t>
    </r>
    <r>
      <rPr>
        <sz val="10"/>
        <color theme="1"/>
        <rFont val="Arial Unicode MS"/>
        <family val="2"/>
      </rPr>
      <t>avg. value × number of rows</t>
    </r>
    <r>
      <rPr>
        <sz val="11"/>
        <color theme="1"/>
        <rFont val="Calibri"/>
        <family val="2"/>
        <scheme val="minor"/>
      </rPr>
      <t>.</t>
    </r>
  </si>
  <si>
    <t>row spacing</t>
  </si>
  <si>
    <t>40 in spacing 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</si>
</sst>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40C28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3A06-575D-4866-9EB0-347A960466EE}">
  <dimension ref="A1:L35"/>
  <sheetViews>
    <sheetView tabSelected="1" workbookViewId="0">
      <selection activeCell="H19" sqref="H19"/>
    </sheetView>
  </sheetViews>
  <sheetFormatPr defaultRowHeight="14.4" x14ac:dyDescent="0.55000000000000004"/>
  <cols>
    <col min="6" max="6" width="9.3125" bestFit="1" customWidth="1"/>
    <col min="9" max="9" width="11.68359375" bestFit="1" customWidth="1"/>
    <col min="11" max="11" width="13.26171875" bestFit="1" customWidth="1"/>
    <col min="12" max="12" width="12.26171875" bestFit="1" customWidth="1"/>
  </cols>
  <sheetData>
    <row r="1" spans="1:12" x14ac:dyDescent="0.55000000000000004">
      <c r="A1" s="4" t="s">
        <v>16</v>
      </c>
      <c r="D1" s="7" t="s">
        <v>16</v>
      </c>
      <c r="E1" s="7"/>
    </row>
    <row r="2" spans="1:12" x14ac:dyDescent="0.55000000000000004">
      <c r="A2" t="s">
        <v>0</v>
      </c>
      <c r="B2" t="s">
        <v>4</v>
      </c>
      <c r="C2" t="s">
        <v>1</v>
      </c>
      <c r="D2" t="s">
        <v>2</v>
      </c>
      <c r="E2" t="s">
        <v>5</v>
      </c>
      <c r="F2" t="s">
        <v>6</v>
      </c>
      <c r="G2" t="s">
        <v>3</v>
      </c>
      <c r="I2" t="s">
        <v>7</v>
      </c>
      <c r="J2" t="s">
        <v>8</v>
      </c>
      <c r="K2" t="s">
        <v>9</v>
      </c>
      <c r="L2" t="s">
        <v>10</v>
      </c>
    </row>
    <row r="3" spans="1:12" x14ac:dyDescent="0.55000000000000004">
      <c r="A3">
        <v>1</v>
      </c>
      <c r="B3">
        <v>50</v>
      </c>
      <c r="C3">
        <f>B3/64</f>
        <v>0.78125</v>
      </c>
      <c r="D3">
        <f>C3/2</f>
        <v>0.390625</v>
      </c>
      <c r="E3">
        <v>25</v>
      </c>
      <c r="F3">
        <v>4</v>
      </c>
      <c r="G3">
        <f>E3+(F3/32)-D3+D4</f>
        <v>25.1796875</v>
      </c>
      <c r="H3" s="1"/>
      <c r="I3">
        <v>0</v>
      </c>
      <c r="J3">
        <f>AVERAGE(G3:G16)</f>
        <v>25.159598214285715</v>
      </c>
      <c r="K3">
        <f>I10*COUNT(G3:G16)</f>
        <v>350</v>
      </c>
      <c r="L3">
        <f>SUM(G3:G16)</f>
        <v>352.234375</v>
      </c>
    </row>
    <row r="4" spans="1:12" x14ac:dyDescent="0.55000000000000004">
      <c r="A4">
        <f>1+A3</f>
        <v>2</v>
      </c>
      <c r="B4">
        <v>57</v>
      </c>
      <c r="C4">
        <f t="shared" ref="C4:C17" si="0">B4/64</f>
        <v>0.890625</v>
      </c>
      <c r="D4">
        <f t="shared" ref="D4:D17" si="1">C4/2</f>
        <v>0.4453125</v>
      </c>
      <c r="E4">
        <v>25</v>
      </c>
      <c r="F4">
        <v>7</v>
      </c>
      <c r="G4">
        <f t="shared" ref="G4:G16" si="2">E4+(F4/32)-D4+D5</f>
        <v>25.1796875</v>
      </c>
    </row>
    <row r="5" spans="1:12" x14ac:dyDescent="0.55000000000000004">
      <c r="A5">
        <f t="shared" ref="A5:A17" si="3">1+A4</f>
        <v>3</v>
      </c>
      <c r="B5">
        <v>52</v>
      </c>
      <c r="C5">
        <f t="shared" si="0"/>
        <v>0.8125</v>
      </c>
      <c r="D5">
        <f t="shared" si="1"/>
        <v>0.40625</v>
      </c>
      <c r="E5">
        <v>25</v>
      </c>
      <c r="F5">
        <v>7</v>
      </c>
      <c r="G5">
        <f t="shared" si="2"/>
        <v>25.203125</v>
      </c>
      <c r="I5" s="2" t="s">
        <v>11</v>
      </c>
    </row>
    <row r="6" spans="1:12" x14ac:dyDescent="0.55000000000000004">
      <c r="A6">
        <f t="shared" si="3"/>
        <v>4</v>
      </c>
      <c r="B6">
        <v>50</v>
      </c>
      <c r="C6">
        <f t="shared" si="0"/>
        <v>0.78125</v>
      </c>
      <c r="D6">
        <f t="shared" si="1"/>
        <v>0.390625</v>
      </c>
      <c r="E6">
        <v>25</v>
      </c>
      <c r="F6">
        <v>5</v>
      </c>
      <c r="G6">
        <f t="shared" si="2"/>
        <v>25.171875</v>
      </c>
      <c r="I6" t="s">
        <v>13</v>
      </c>
      <c r="J6" t="s">
        <v>12</v>
      </c>
      <c r="K6" t="s">
        <v>14</v>
      </c>
      <c r="L6" t="s">
        <v>15</v>
      </c>
    </row>
    <row r="7" spans="1:12" x14ac:dyDescent="0.55000000000000004">
      <c r="A7">
        <f t="shared" si="3"/>
        <v>5</v>
      </c>
      <c r="B7">
        <v>52</v>
      </c>
      <c r="C7">
        <f t="shared" si="0"/>
        <v>0.8125</v>
      </c>
      <c r="D7">
        <f t="shared" si="1"/>
        <v>0.40625</v>
      </c>
      <c r="E7">
        <v>25</v>
      </c>
      <c r="F7">
        <v>9</v>
      </c>
      <c r="G7">
        <f t="shared" si="2"/>
        <v>25.2421875</v>
      </c>
      <c r="I7">
        <v>300</v>
      </c>
      <c r="J7">
        <f>J3</f>
        <v>25.159598214285715</v>
      </c>
      <c r="K7">
        <f>I7*I10</f>
        <v>7500</v>
      </c>
      <c r="L7" s="3">
        <f>I7*J7</f>
        <v>7547.8794642857147</v>
      </c>
    </row>
    <row r="8" spans="1:12" x14ac:dyDescent="0.55000000000000004">
      <c r="A8">
        <f t="shared" si="3"/>
        <v>6</v>
      </c>
      <c r="B8">
        <v>47</v>
      </c>
      <c r="C8">
        <f t="shared" si="0"/>
        <v>0.734375</v>
      </c>
      <c r="D8">
        <f t="shared" si="1"/>
        <v>0.3671875</v>
      </c>
      <c r="E8">
        <v>25</v>
      </c>
      <c r="F8">
        <v>1</v>
      </c>
      <c r="G8">
        <f t="shared" si="2"/>
        <v>25.109375</v>
      </c>
    </row>
    <row r="9" spans="1:12" x14ac:dyDescent="0.55000000000000004">
      <c r="A9">
        <f t="shared" si="3"/>
        <v>7</v>
      </c>
      <c r="B9">
        <v>57</v>
      </c>
      <c r="C9">
        <f t="shared" si="0"/>
        <v>0.890625</v>
      </c>
      <c r="D9">
        <f t="shared" si="1"/>
        <v>0.4453125</v>
      </c>
      <c r="E9">
        <v>25</v>
      </c>
      <c r="F9">
        <v>7</v>
      </c>
      <c r="G9">
        <f t="shared" si="2"/>
        <v>25.1328125</v>
      </c>
      <c r="I9" t="s">
        <v>33</v>
      </c>
    </row>
    <row r="10" spans="1:12" x14ac:dyDescent="0.55000000000000004">
      <c r="A10">
        <f t="shared" si="3"/>
        <v>8</v>
      </c>
      <c r="B10">
        <v>46</v>
      </c>
      <c r="C10">
        <f t="shared" si="0"/>
        <v>0.71875</v>
      </c>
      <c r="D10">
        <f t="shared" si="1"/>
        <v>0.359375</v>
      </c>
      <c r="E10">
        <v>25</v>
      </c>
      <c r="F10">
        <v>8</v>
      </c>
      <c r="G10">
        <f t="shared" si="2"/>
        <v>25.21875</v>
      </c>
      <c r="I10">
        <v>25</v>
      </c>
    </row>
    <row r="11" spans="1:12" x14ac:dyDescent="0.55000000000000004">
      <c r="A11">
        <f t="shared" si="3"/>
        <v>9</v>
      </c>
      <c r="B11">
        <v>42</v>
      </c>
      <c r="C11">
        <f t="shared" si="0"/>
        <v>0.65625</v>
      </c>
      <c r="D11">
        <f t="shared" si="1"/>
        <v>0.328125</v>
      </c>
      <c r="E11">
        <v>25</v>
      </c>
      <c r="F11">
        <v>1</v>
      </c>
      <c r="G11">
        <f t="shared" si="2"/>
        <v>25.0859375</v>
      </c>
    </row>
    <row r="12" spans="1:12" x14ac:dyDescent="0.55000000000000004">
      <c r="A12">
        <f t="shared" si="3"/>
        <v>10</v>
      </c>
      <c r="B12">
        <v>49</v>
      </c>
      <c r="C12">
        <f t="shared" si="0"/>
        <v>0.765625</v>
      </c>
      <c r="D12">
        <f t="shared" si="1"/>
        <v>0.3828125</v>
      </c>
      <c r="E12">
        <v>25</v>
      </c>
      <c r="F12">
        <v>6</v>
      </c>
      <c r="G12">
        <f t="shared" si="2"/>
        <v>25.1484375</v>
      </c>
    </row>
    <row r="13" spans="1:12" x14ac:dyDescent="0.55000000000000004">
      <c r="A13">
        <f t="shared" si="3"/>
        <v>11</v>
      </c>
      <c r="B13">
        <v>44</v>
      </c>
      <c r="C13">
        <f t="shared" si="0"/>
        <v>0.6875</v>
      </c>
      <c r="D13">
        <f t="shared" si="1"/>
        <v>0.34375</v>
      </c>
      <c r="E13">
        <v>25</v>
      </c>
      <c r="F13">
        <v>1</v>
      </c>
      <c r="G13">
        <f t="shared" si="2"/>
        <v>25.140625</v>
      </c>
    </row>
    <row r="14" spans="1:12" x14ac:dyDescent="0.55000000000000004">
      <c r="A14">
        <f t="shared" si="3"/>
        <v>12</v>
      </c>
      <c r="B14">
        <v>58</v>
      </c>
      <c r="C14">
        <f t="shared" si="0"/>
        <v>0.90625</v>
      </c>
      <c r="D14">
        <f t="shared" si="1"/>
        <v>0.453125</v>
      </c>
      <c r="E14">
        <v>25</v>
      </c>
      <c r="F14">
        <v>8</v>
      </c>
      <c r="G14">
        <f t="shared" si="2"/>
        <v>25.15625</v>
      </c>
    </row>
    <row r="15" spans="1:12" x14ac:dyDescent="0.55000000000000004">
      <c r="A15">
        <f t="shared" si="3"/>
        <v>13</v>
      </c>
      <c r="B15">
        <v>46</v>
      </c>
      <c r="C15">
        <f t="shared" si="0"/>
        <v>0.71875</v>
      </c>
      <c r="D15">
        <f t="shared" si="1"/>
        <v>0.359375</v>
      </c>
      <c r="E15">
        <v>25</v>
      </c>
      <c r="F15">
        <v>4</v>
      </c>
      <c r="G15">
        <f t="shared" si="2"/>
        <v>25.1171875</v>
      </c>
    </row>
    <row r="16" spans="1:12" x14ac:dyDescent="0.55000000000000004">
      <c r="A16">
        <f t="shared" si="3"/>
        <v>14</v>
      </c>
      <c r="B16">
        <v>45</v>
      </c>
      <c r="C16">
        <f t="shared" si="0"/>
        <v>0.703125</v>
      </c>
      <c r="D16">
        <f t="shared" si="1"/>
        <v>0.3515625</v>
      </c>
      <c r="E16">
        <v>25</v>
      </c>
      <c r="F16">
        <v>6</v>
      </c>
      <c r="G16">
        <f t="shared" si="2"/>
        <v>25.1484375</v>
      </c>
    </row>
    <row r="17" spans="1:12" x14ac:dyDescent="0.55000000000000004">
      <c r="A17">
        <f t="shared" si="3"/>
        <v>15</v>
      </c>
      <c r="B17">
        <v>40</v>
      </c>
      <c r="C17">
        <f t="shared" si="0"/>
        <v>0.625</v>
      </c>
      <c r="D17">
        <f t="shared" si="1"/>
        <v>0.3125</v>
      </c>
      <c r="E17">
        <v>25</v>
      </c>
      <c r="F17">
        <v>6</v>
      </c>
      <c r="G17">
        <f>E17+(F17/32)-D17+D19</f>
        <v>24.875</v>
      </c>
    </row>
    <row r="19" spans="1:12" x14ac:dyDescent="0.55000000000000004">
      <c r="A19" s="7" t="s">
        <v>34</v>
      </c>
      <c r="B19" s="7"/>
    </row>
    <row r="20" spans="1:12" x14ac:dyDescent="0.55000000000000004">
      <c r="A20" t="s">
        <v>0</v>
      </c>
      <c r="B20" t="s">
        <v>4</v>
      </c>
      <c r="C20" t="s">
        <v>1</v>
      </c>
      <c r="D20" t="s">
        <v>2</v>
      </c>
      <c r="E20" t="s">
        <v>5</v>
      </c>
      <c r="F20" t="s">
        <v>6</v>
      </c>
      <c r="G20" t="s">
        <v>3</v>
      </c>
    </row>
    <row r="21" spans="1:12" x14ac:dyDescent="0.55000000000000004">
      <c r="A21">
        <v>1</v>
      </c>
      <c r="C21">
        <f t="shared" ref="C21:C35" si="4">B21/64</f>
        <v>0</v>
      </c>
      <c r="D21">
        <f t="shared" ref="D21:D35" si="5">C21/2</f>
        <v>0</v>
      </c>
      <c r="G21">
        <f>E21+(F21/32)-D21+D22</f>
        <v>0</v>
      </c>
      <c r="I21" t="s">
        <v>7</v>
      </c>
      <c r="J21" t="s">
        <v>8</v>
      </c>
      <c r="K21" t="s">
        <v>9</v>
      </c>
      <c r="L21" t="s">
        <v>10</v>
      </c>
    </row>
    <row r="22" spans="1:12" x14ac:dyDescent="0.55000000000000004">
      <c r="A22">
        <f>1+A21</f>
        <v>2</v>
      </c>
      <c r="C22">
        <f t="shared" si="4"/>
        <v>0</v>
      </c>
      <c r="D22">
        <f t="shared" si="5"/>
        <v>0</v>
      </c>
      <c r="G22">
        <f t="shared" ref="G22:G35" si="6">E22+(F22/32)-D22+D23</f>
        <v>0</v>
      </c>
      <c r="I22">
        <v>0</v>
      </c>
      <c r="J22">
        <f>AVERAGE(G21:G35)</f>
        <v>0</v>
      </c>
      <c r="K22">
        <f>I29*COUNT(G21:G35)</f>
        <v>375</v>
      </c>
      <c r="L22">
        <f>SUM(G21:G35)</f>
        <v>0</v>
      </c>
    </row>
    <row r="23" spans="1:12" x14ac:dyDescent="0.55000000000000004">
      <c r="A23">
        <f t="shared" ref="A23:A35" si="7">1+A22</f>
        <v>3</v>
      </c>
      <c r="C23">
        <f t="shared" si="4"/>
        <v>0</v>
      </c>
      <c r="D23">
        <f t="shared" si="5"/>
        <v>0</v>
      </c>
      <c r="G23">
        <f t="shared" si="6"/>
        <v>0</v>
      </c>
    </row>
    <row r="24" spans="1:12" x14ac:dyDescent="0.55000000000000004">
      <c r="A24">
        <f t="shared" si="7"/>
        <v>4</v>
      </c>
      <c r="C24">
        <f t="shared" si="4"/>
        <v>0</v>
      </c>
      <c r="D24">
        <f t="shared" si="5"/>
        <v>0</v>
      </c>
      <c r="G24">
        <f t="shared" si="6"/>
        <v>0</v>
      </c>
      <c r="I24" s="2" t="s">
        <v>11</v>
      </c>
    </row>
    <row r="25" spans="1:12" x14ac:dyDescent="0.55000000000000004">
      <c r="A25">
        <f t="shared" si="7"/>
        <v>5</v>
      </c>
      <c r="C25">
        <f t="shared" si="4"/>
        <v>0</v>
      </c>
      <c r="D25">
        <f t="shared" si="5"/>
        <v>0</v>
      </c>
      <c r="G25">
        <f t="shared" si="6"/>
        <v>0</v>
      </c>
      <c r="I25" t="s">
        <v>13</v>
      </c>
      <c r="J25" t="s">
        <v>12</v>
      </c>
      <c r="K25" t="s">
        <v>14</v>
      </c>
      <c r="L25" t="s">
        <v>15</v>
      </c>
    </row>
    <row r="26" spans="1:12" x14ac:dyDescent="0.55000000000000004">
      <c r="A26">
        <f t="shared" si="7"/>
        <v>6</v>
      </c>
      <c r="C26">
        <f t="shared" si="4"/>
        <v>0</v>
      </c>
      <c r="D26">
        <f t="shared" si="5"/>
        <v>0</v>
      </c>
      <c r="G26">
        <f t="shared" si="6"/>
        <v>0</v>
      </c>
      <c r="I26">
        <v>300</v>
      </c>
      <c r="J26">
        <f>J22</f>
        <v>0</v>
      </c>
      <c r="K26">
        <f>I26*I29</f>
        <v>7500</v>
      </c>
      <c r="L26" s="3">
        <f>I26*J26</f>
        <v>0</v>
      </c>
    </row>
    <row r="27" spans="1:12" x14ac:dyDescent="0.55000000000000004">
      <c r="A27">
        <f t="shared" si="7"/>
        <v>7</v>
      </c>
      <c r="C27">
        <f t="shared" si="4"/>
        <v>0</v>
      </c>
      <c r="D27">
        <f t="shared" si="5"/>
        <v>0</v>
      </c>
      <c r="G27">
        <f t="shared" si="6"/>
        <v>0</v>
      </c>
    </row>
    <row r="28" spans="1:12" x14ac:dyDescent="0.55000000000000004">
      <c r="A28">
        <f t="shared" si="7"/>
        <v>8</v>
      </c>
      <c r="C28">
        <f t="shared" si="4"/>
        <v>0</v>
      </c>
      <c r="D28">
        <f t="shared" si="5"/>
        <v>0</v>
      </c>
      <c r="G28">
        <f t="shared" si="6"/>
        <v>0</v>
      </c>
      <c r="I28" t="s">
        <v>33</v>
      </c>
    </row>
    <row r="29" spans="1:12" x14ac:dyDescent="0.55000000000000004">
      <c r="A29">
        <f t="shared" si="7"/>
        <v>9</v>
      </c>
      <c r="C29">
        <f t="shared" si="4"/>
        <v>0</v>
      </c>
      <c r="D29">
        <f t="shared" si="5"/>
        <v>0</v>
      </c>
      <c r="G29">
        <f t="shared" si="6"/>
        <v>0</v>
      </c>
      <c r="I29">
        <v>25</v>
      </c>
    </row>
    <row r="30" spans="1:12" x14ac:dyDescent="0.55000000000000004">
      <c r="A30">
        <f t="shared" si="7"/>
        <v>10</v>
      </c>
      <c r="C30">
        <f t="shared" si="4"/>
        <v>0</v>
      </c>
      <c r="D30">
        <f t="shared" si="5"/>
        <v>0</v>
      </c>
      <c r="G30">
        <f t="shared" si="6"/>
        <v>0</v>
      </c>
    </row>
    <row r="31" spans="1:12" x14ac:dyDescent="0.55000000000000004">
      <c r="A31">
        <f t="shared" si="7"/>
        <v>11</v>
      </c>
      <c r="C31">
        <f t="shared" si="4"/>
        <v>0</v>
      </c>
      <c r="D31">
        <f t="shared" si="5"/>
        <v>0</v>
      </c>
      <c r="G31">
        <f t="shared" si="6"/>
        <v>0</v>
      </c>
    </row>
    <row r="32" spans="1:12" x14ac:dyDescent="0.55000000000000004">
      <c r="A32">
        <f t="shared" si="7"/>
        <v>12</v>
      </c>
      <c r="C32">
        <f t="shared" si="4"/>
        <v>0</v>
      </c>
      <c r="D32">
        <f t="shared" si="5"/>
        <v>0</v>
      </c>
      <c r="G32">
        <f t="shared" si="6"/>
        <v>0</v>
      </c>
    </row>
    <row r="33" spans="1:7" x14ac:dyDescent="0.55000000000000004">
      <c r="A33">
        <f t="shared" si="7"/>
        <v>13</v>
      </c>
      <c r="C33">
        <f t="shared" si="4"/>
        <v>0</v>
      </c>
      <c r="D33">
        <f t="shared" si="5"/>
        <v>0</v>
      </c>
      <c r="G33">
        <f t="shared" si="6"/>
        <v>0</v>
      </c>
    </row>
    <row r="34" spans="1:7" x14ac:dyDescent="0.55000000000000004">
      <c r="A34">
        <f t="shared" si="7"/>
        <v>14</v>
      </c>
      <c r="C34">
        <f t="shared" si="4"/>
        <v>0</v>
      </c>
      <c r="D34">
        <f t="shared" si="5"/>
        <v>0</v>
      </c>
      <c r="G34">
        <f t="shared" si="6"/>
        <v>0</v>
      </c>
    </row>
    <row r="35" spans="1:7" x14ac:dyDescent="0.55000000000000004">
      <c r="A35">
        <f t="shared" si="7"/>
        <v>15</v>
      </c>
      <c r="C35">
        <f t="shared" si="4"/>
        <v>0</v>
      </c>
      <c r="D35">
        <f t="shared" si="5"/>
        <v>0</v>
      </c>
      <c r="G35">
        <f t="shared" si="6"/>
        <v>0</v>
      </c>
    </row>
  </sheetData>
  <mergeCells count="2">
    <mergeCell ref="D1:E1"/>
    <mergeCell ref="A19:B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1628-297F-4099-A809-388CE477543F}">
  <dimension ref="A1:C17"/>
  <sheetViews>
    <sheetView workbookViewId="0">
      <selection activeCell="B1" sqref="B1:B1048576"/>
    </sheetView>
  </sheetViews>
  <sheetFormatPr defaultRowHeight="14.4" x14ac:dyDescent="0.55000000000000004"/>
  <cols>
    <col min="1" max="1" width="16.89453125" bestFit="1" customWidth="1"/>
    <col min="2" max="2" width="14" style="4" bestFit="1" customWidth="1"/>
    <col min="3" max="3" width="51" style="6" customWidth="1"/>
    <col min="5" max="5" width="8.83984375" customWidth="1"/>
  </cols>
  <sheetData>
    <row r="1" spans="1:3" x14ac:dyDescent="0.55000000000000004">
      <c r="A1" s="4" t="s">
        <v>20</v>
      </c>
    </row>
    <row r="2" spans="1:3" ht="28.8" x14ac:dyDescent="0.55000000000000004">
      <c r="B2" s="4" t="s">
        <v>0</v>
      </c>
      <c r="C2" s="6" t="s">
        <v>17</v>
      </c>
    </row>
    <row r="3" spans="1:3" ht="28.8" x14ac:dyDescent="0.55000000000000004">
      <c r="B3" s="4" t="s">
        <v>4</v>
      </c>
      <c r="C3" s="6" t="s">
        <v>18</v>
      </c>
    </row>
    <row r="4" spans="1:3" ht="14.7" x14ac:dyDescent="0.55000000000000004">
      <c r="B4" s="4" t="s">
        <v>1</v>
      </c>
      <c r="C4" s="6" t="s">
        <v>19</v>
      </c>
    </row>
    <row r="5" spans="1:3" ht="29.1" x14ac:dyDescent="0.55000000000000004">
      <c r="B5" s="4" t="s">
        <v>2</v>
      </c>
      <c r="C5" s="6" t="s">
        <v>21</v>
      </c>
    </row>
    <row r="6" spans="1:3" ht="28.8" x14ac:dyDescent="0.55000000000000004">
      <c r="B6" s="4" t="s">
        <v>5</v>
      </c>
      <c r="C6" s="6" t="s">
        <v>27</v>
      </c>
    </row>
    <row r="7" spans="1:3" ht="43.2" x14ac:dyDescent="0.55000000000000004">
      <c r="B7" s="4" t="s">
        <v>6</v>
      </c>
      <c r="C7" s="6" t="s">
        <v>22</v>
      </c>
    </row>
    <row r="8" spans="1:3" ht="43.8" x14ac:dyDescent="0.55000000000000004">
      <c r="B8" s="4" t="s">
        <v>3</v>
      </c>
      <c r="C8" s="6" t="s">
        <v>23</v>
      </c>
    </row>
    <row r="9" spans="1:3" ht="29.4" x14ac:dyDescent="0.55000000000000004">
      <c r="B9" s="4" t="s">
        <v>8</v>
      </c>
      <c r="C9" s="6" t="s">
        <v>24</v>
      </c>
    </row>
    <row r="10" spans="1:3" ht="29.1" x14ac:dyDescent="0.55000000000000004">
      <c r="B10" s="4" t="s">
        <v>9</v>
      </c>
      <c r="C10" s="6" t="s">
        <v>25</v>
      </c>
    </row>
    <row r="11" spans="1:3" ht="29.4" x14ac:dyDescent="0.55000000000000004">
      <c r="B11" s="4" t="s">
        <v>10</v>
      </c>
      <c r="C11" s="6" t="s">
        <v>26</v>
      </c>
    </row>
    <row r="13" spans="1:3" x14ac:dyDescent="0.55000000000000004">
      <c r="A13" s="4" t="s">
        <v>28</v>
      </c>
    </row>
    <row r="14" spans="1:3" ht="43.2" x14ac:dyDescent="0.55000000000000004">
      <c r="B14" s="4" t="s">
        <v>13</v>
      </c>
      <c r="C14" s="5" t="s">
        <v>29</v>
      </c>
    </row>
    <row r="15" spans="1:3" ht="29.1" x14ac:dyDescent="0.6">
      <c r="B15" s="4" t="s">
        <v>12</v>
      </c>
      <c r="C15" s="5" t="s">
        <v>30</v>
      </c>
    </row>
    <row r="16" spans="1:3" ht="29.1" x14ac:dyDescent="0.6">
      <c r="B16" s="4" t="s">
        <v>14</v>
      </c>
      <c r="C16" s="5" t="s">
        <v>31</v>
      </c>
    </row>
    <row r="17" spans="2:3" ht="29.1" x14ac:dyDescent="0.6">
      <c r="B17" s="4" t="s">
        <v>15</v>
      </c>
      <c r="C17" s="5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afff5a-8aaf-476a-a4b7-9af4cfa347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6659556E90CE45874A39C61876AD53" ma:contentTypeVersion="18" ma:contentTypeDescription="Create a new document." ma:contentTypeScope="" ma:versionID="7250ed778c1c90d3b3cbd66f5486622e">
  <xsd:schema xmlns:xsd="http://www.w3.org/2001/XMLSchema" xmlns:xs="http://www.w3.org/2001/XMLSchema" xmlns:p="http://schemas.microsoft.com/office/2006/metadata/properties" xmlns:ns3="1cafff5a-8aaf-476a-a4b7-9af4cfa34719" xmlns:ns4="d1bcbe37-7246-4d2a-9e24-505e893e78dc" targetNamespace="http://schemas.microsoft.com/office/2006/metadata/properties" ma:root="true" ma:fieldsID="9f83f327176d43f3f7669550c80198e5" ns3:_="" ns4:_="">
    <xsd:import namespace="1cafff5a-8aaf-476a-a4b7-9af4cfa34719"/>
    <xsd:import namespace="d1bcbe37-7246-4d2a-9e24-505e893e78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fff5a-8aaf-476a-a4b7-9af4cfa347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cbe37-7246-4d2a-9e24-505e893e78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C7BF8-8D55-40D9-8028-49127C6C01B3}">
  <ds:schemaRefs>
    <ds:schemaRef ds:uri="http://schemas.microsoft.com/office/infopath/2007/PartnerControls"/>
    <ds:schemaRef ds:uri="1cafff5a-8aaf-476a-a4b7-9af4cfa34719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d1bcbe37-7246-4d2a-9e24-505e893e78d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8D35BB8-896D-42CF-8315-27D94B35C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15EE99-CE92-4D5D-9960-789BB1873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afff5a-8aaf-476a-a4b7-9af4cfa34719"/>
    <ds:schemaRef ds:uri="d1bcbe37-7246-4d2a-9e24-505e893e78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>BCOE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2025-05-14T18:59:38Z</dcterms:created>
  <dcterms:modified xsi:type="dcterms:W3CDTF">2025-05-16T13:38:28Z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0x010100146659556E90CE45874A39C61876AD53</vt:lpwstr>
  </property>
</Properties>
</file>